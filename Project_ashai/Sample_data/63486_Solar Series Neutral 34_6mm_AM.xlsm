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srsr\Desktop\"/>
    </mc:Choice>
  </mc:AlternateContent>
  <bookViews>
    <workbookView xWindow="0" yWindow="0" windowWidth="28800" windowHeight="12432" firstSheet="1" activeTab="1"/>
  </bookViews>
  <sheets>
    <sheet name="CALCULATOR" sheetId="3" state="hidden" r:id="rId1"/>
    <sheet name="TEXT FILE GENERATOR" sheetId="5" r:id="rId2"/>
  </sheets>
  <definedNames>
    <definedName name="_63065_2.5mm_AIS_NPD_GREEN_50_BM_Copy" localSheetId="1">'TEXT FILE GENERATOR'!$A$1:$D$460</definedName>
    <definedName name="NPD_G50_2.5_MM_RG.Sample" localSheetId="0">CALCULATOR!#REF!</definedName>
    <definedName name="NPD_G50_2.5_MM_RG.Sample_1" localSheetId="0">CALCULATOR!#REF!</definedName>
    <definedName name="NPD_G50_2.5_MM_RG.Sample_2" localSheetId="0">CALCULATOR!#REF!</definedName>
    <definedName name="NPD_G50_2.5_MM_RG.Sample_3" localSheetId="0">CALCULATOR!#REF!</definedName>
    <definedName name="NPD_G50_2.5_MM_RG.Sample_4" localSheetId="0">CALCULATOR!#REF!</definedName>
  </definedNames>
  <calcPr calcId="152511"/>
</workbook>
</file>

<file path=xl/calcChain.xml><?xml version="1.0" encoding="utf-8"?>
<calcChain xmlns="http://schemas.openxmlformats.org/spreadsheetml/2006/main">
  <c r="G9" i="5" l="1"/>
  <c r="A17" i="5" l="1"/>
  <c r="A18" i="5"/>
  <c r="A12" i="5" l="1"/>
  <c r="A15" i="5"/>
  <c r="A10" i="5"/>
  <c r="A5" i="5"/>
  <c r="A2" i="5"/>
</calcChain>
</file>

<file path=xl/connections.xml><?xml version="1.0" encoding="utf-8"?>
<connections xmlns="http://schemas.openxmlformats.org/spreadsheetml/2006/main">
  <connection id="1" name="63065_2.5mm_AIS_NPD_GREEN_50_BM Copy" type="6" refreshedVersion="5" background="1" saveData="1">
    <textPr codePage="437" sourceFile="E:\Mustafa\window and optic practice\63065_2.5mm_AIS_NPD_GREEN_50_BM Copy.txt">
      <textFields>
        <textField/>
      </textFields>
    </textPr>
  </connection>
</connections>
</file>

<file path=xl/sharedStrings.xml><?xml version="1.0" encoding="utf-8"?>
<sst xmlns="http://schemas.openxmlformats.org/spreadsheetml/2006/main" count="26" uniqueCount="26">
  <si>
    <t>{ Conductivity } 1</t>
  </si>
  <si>
    <t>{ IR Transmittance } TIR=0</t>
  </si>
  <si>
    <t>{ }</t>
  </si>
  <si>
    <t>{ Ef_Source: Text File }</t>
  </si>
  <si>
    <t>{ Eb_Source: Text File }</t>
  </si>
  <si>
    <t>{ IGDB_Checksum: 0 }</t>
  </si>
  <si>
    <t>{ Manufacturer: AIS }</t>
  </si>
  <si>
    <t>{ Type: Coated }</t>
  </si>
  <si>
    <t>{ Material: N/A }</t>
  </si>
  <si>
    <t>{ Coated Side: Back }</t>
  </si>
  <si>
    <t>{ Acceptance: # }</t>
  </si>
  <si>
    <t>{ Uses:  }</t>
  </si>
  <si>
    <t>{ Availability:   }</t>
  </si>
  <si>
    <t>{ Structure:  }</t>
  </si>
  <si>
    <t>{ Units Wavelength Units } SI Microns</t>
  </si>
  <si>
    <t>Thickness</t>
  </si>
  <si>
    <t>Emissivity back</t>
  </si>
  <si>
    <t>Product name</t>
  </si>
  <si>
    <t>NFRC ID</t>
  </si>
  <si>
    <t>Appearance</t>
  </si>
  <si>
    <t>Substrate Filename:</t>
  </si>
  <si>
    <t>NEUTRAL</t>
  </si>
  <si>
    <t xml:space="preserve">Product </t>
  </si>
  <si>
    <t>AM</t>
  </si>
  <si>
    <t>Solar Series Neutral 34</t>
  </si>
  <si>
    <t>63485_New_AIS_ClearFloatglass_10012023_6mm_BM.txt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</si>
</sst>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;[Red]0.000000"/>
    <numFmt numFmtId="165" formatCode="0.000"/>
    <numFmt numFmtId="166" formatCode="0;[Red]0"/>
    <numFmt numFmtId="167" formatCode="0.000;[Red]0.000"/>
  </numFmts>
  <fonts count="6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164" fontId="0" fillId="0" borderId="0" xfId="0" applyNumberFormat="1"/>
    <xf numFmtId="0" fontId="3" fillId="0" borderId="0" xfId="0" applyFont="1"/>
    <xf numFmtId="0" fontId="0" fillId="0" borderId="0" xfId="0" applyFill="1" applyBorder="1"/>
    <xf numFmtId="0" fontId="0" fillId="0" borderId="0" xfId="0" applyBorder="1"/>
    <xf numFmtId="164" fontId="0" fillId="0" borderId="0" xfId="0" applyNumberFormat="1" applyBorder="1"/>
    <xf numFmtId="47" fontId="0" fillId="0" borderId="0" xfId="0" applyNumberFormat="1"/>
    <xf numFmtId="165" fontId="0" fillId="0" borderId="0" xfId="0" applyNumberFormat="1"/>
    <xf numFmtId="166" fontId="0" fillId="0" borderId="0" xfId="0" applyNumberFormat="1" applyBorder="1" applyAlignment="1">
      <alignment horizontal="center" vertical="center"/>
    </xf>
    <xf numFmtId="164" fontId="5" fillId="0" borderId="0" xfId="0" applyNumberFormat="1" applyFont="1" applyAlignment="1">
      <alignment horizontal="center"/>
    </xf>
    <xf numFmtId="0" fontId="1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0" fillId="2" borderId="1" xfId="0" applyNumberFormat="1" applyFont="1" applyFill="1" applyBorder="1" applyAlignment="1">
      <alignment horizontal="center" vertical="center"/>
    </xf>
    <xf numFmtId="166" fontId="0" fillId="2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164" fontId="5" fillId="0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99060</xdr:rowOff>
        </xdr:from>
        <xdr:to>
          <xdr:col>5</xdr:col>
          <xdr:colOff>4061460</xdr:colOff>
          <xdr:row>18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TEXT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10</xdr:row>
          <xdr:rowOff>30480</xdr:rowOff>
        </xdr:from>
        <xdr:to>
          <xdr:col>5</xdr:col>
          <xdr:colOff>1188720</xdr:colOff>
          <xdr:row>11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1409700</xdr:colOff>
          <xdr:row>10</xdr:row>
          <xdr:rowOff>30480</xdr:rowOff>
        </xdr:from>
        <xdr:to>
          <xdr:col>5</xdr:col>
          <xdr:colOff>2628900</xdr:colOff>
          <xdr:row>11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2811780</xdr:colOff>
          <xdr:row>10</xdr:row>
          <xdr:rowOff>30480</xdr:rowOff>
        </xdr:from>
        <xdr:to>
          <xdr:col>5</xdr:col>
          <xdr:colOff>3924300</xdr:colOff>
          <xdr:row>11</xdr:row>
          <xdr:rowOff>175260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Rf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63065_2.5mm_AIS_NPD_GREEN_50_BM Copy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5"/>
  <sheetViews>
    <sheetView workbookViewId="0">
      <selection activeCell="M8" sqref="M8"/>
    </sheetView>
  </sheetViews>
  <sheetFormatPr defaultRowHeight="14.4" x14ac:dyDescent="0.3"/>
  <cols>
    <col min="4" max="4" width="10.5546875" bestFit="1" customWidth="1"/>
    <col min="5" max="5" width="9.5546875" bestFit="1" customWidth="1"/>
    <col min="6" max="6" width="11.5546875" bestFit="1" customWidth="1"/>
    <col min="7" max="7" width="9.5546875" bestFit="1" customWidth="1"/>
    <col min="9" max="9" width="10.5546875" bestFit="1" customWidth="1"/>
    <col min="10" max="11" width="9.44140625" customWidth="1"/>
  </cols>
  <sheetData>
    <row r="1" spans="1:17" ht="15.75" customHeight="1" x14ac:dyDescent="0.3">
      <c r="A1" s="11"/>
      <c r="B1" s="11"/>
      <c r="C1" s="11"/>
    </row>
    <row r="2" spans="1:17" ht="15" customHeight="1" x14ac:dyDescent="0.3">
      <c r="A2" s="11"/>
      <c r="B2" s="11"/>
      <c r="C2" s="11"/>
    </row>
    <row r="3" spans="1:17" ht="15" customHeight="1" x14ac:dyDescent="0.3">
      <c r="A3" s="11"/>
      <c r="B3" s="11"/>
      <c r="C3" s="11"/>
      <c r="D3" s="4"/>
      <c r="F3" s="4"/>
      <c r="H3" s="4"/>
    </row>
    <row r="4" spans="1:17" ht="15" customHeight="1" x14ac:dyDescent="0.3">
      <c r="A4" s="11"/>
      <c r="B4" s="11"/>
      <c r="C4" s="11"/>
    </row>
    <row r="5" spans="1:17" ht="15" customHeight="1" x14ac:dyDescent="0.3">
      <c r="A5" s="11"/>
      <c r="B5" s="11"/>
      <c r="C5" s="11"/>
      <c r="D5" s="1">
        <v>0.32</v>
      </c>
      <c r="E5" s="1">
        <v>2.3410839999999999E-2</v>
      </c>
      <c r="F5" s="1">
        <v>6.0615819999999994E-2</v>
      </c>
      <c r="G5" s="1">
        <v>0.18613451</v>
      </c>
      <c r="H5" s="1"/>
      <c r="I5" s="1"/>
      <c r="J5" s="1"/>
      <c r="K5" s="1"/>
    </row>
    <row r="6" spans="1:17" ht="15" customHeight="1" x14ac:dyDescent="0.3">
      <c r="A6" s="11"/>
      <c r="B6" s="11"/>
      <c r="C6" s="11"/>
      <c r="D6" s="1">
        <v>0.32500000000000001</v>
      </c>
      <c r="E6" s="1">
        <v>6.559305E-2</v>
      </c>
      <c r="F6" s="1">
        <v>5.7407880000000001E-2</v>
      </c>
      <c r="G6" s="1">
        <v>0.17890691</v>
      </c>
      <c r="H6" s="1"/>
      <c r="I6" s="1"/>
      <c r="J6" s="1"/>
      <c r="K6" s="1"/>
    </row>
    <row r="7" spans="1:17" ht="15" customHeight="1" x14ac:dyDescent="0.3">
      <c r="A7" s="11"/>
      <c r="B7" s="11"/>
      <c r="C7" s="11"/>
      <c r="D7" s="1">
        <v>0.33</v>
      </c>
      <c r="E7" s="1">
        <v>0.16603968</v>
      </c>
      <c r="F7" s="1">
        <v>6.1215770000000003E-2</v>
      </c>
      <c r="G7" s="1">
        <v>0.16547898</v>
      </c>
      <c r="H7" s="1"/>
      <c r="I7" s="1"/>
      <c r="J7" s="1"/>
      <c r="K7" s="1"/>
    </row>
    <row r="8" spans="1:17" ht="15" customHeight="1" x14ac:dyDescent="0.3">
      <c r="A8" s="11"/>
      <c r="B8" s="11"/>
      <c r="C8" s="11"/>
      <c r="D8" s="1">
        <v>0.33500000000000002</v>
      </c>
      <c r="E8" s="1">
        <v>0.29299828999999999</v>
      </c>
      <c r="F8" s="1">
        <v>7.432248000000001E-2</v>
      </c>
      <c r="G8" s="1">
        <v>0.16385574999999999</v>
      </c>
      <c r="H8" s="1"/>
      <c r="I8" s="1"/>
      <c r="J8" s="1"/>
      <c r="K8" s="1"/>
    </row>
    <row r="9" spans="1:17" ht="15" customHeight="1" x14ac:dyDescent="0.3">
      <c r="A9" s="11"/>
      <c r="B9" s="11"/>
      <c r="C9" s="11"/>
      <c r="D9" s="1">
        <v>0.34</v>
      </c>
      <c r="E9" s="1">
        <v>0.40573628999999994</v>
      </c>
      <c r="F9" s="1">
        <v>8.7411600000000006E-2</v>
      </c>
      <c r="G9" s="1">
        <v>0.16425382999999999</v>
      </c>
      <c r="H9" s="7"/>
      <c r="I9" s="1"/>
      <c r="J9" s="1"/>
      <c r="K9" s="1"/>
    </row>
    <row r="10" spans="1:17" ht="15" customHeight="1" x14ac:dyDescent="0.3">
      <c r="A10" s="11"/>
      <c r="B10" s="11"/>
      <c r="C10" s="11"/>
      <c r="D10" s="1">
        <v>0.34499999999999997</v>
      </c>
      <c r="E10" s="1">
        <v>0.51157934999999999</v>
      </c>
      <c r="F10" s="1">
        <v>0.10743548</v>
      </c>
      <c r="G10" s="1">
        <v>0.16136676999999999</v>
      </c>
      <c r="H10" s="1"/>
      <c r="I10" s="1"/>
      <c r="J10" s="1"/>
      <c r="K10" s="1"/>
    </row>
    <row r="11" spans="1:17" ht="15" customHeight="1" x14ac:dyDescent="0.3">
      <c r="A11" s="11"/>
      <c r="B11" s="11"/>
      <c r="C11" s="11"/>
      <c r="D11" s="1">
        <v>0.35</v>
      </c>
      <c r="E11" s="1">
        <v>0.59095045000000002</v>
      </c>
      <c r="F11" s="1">
        <v>0.12552711999999999</v>
      </c>
      <c r="G11" s="1">
        <v>0.16305908999999999</v>
      </c>
      <c r="H11" s="7"/>
      <c r="I11" s="1"/>
      <c r="J11" s="1"/>
      <c r="K11" s="1"/>
    </row>
    <row r="12" spans="1:17" ht="15" customHeight="1" x14ac:dyDescent="0.3">
      <c r="A12" s="11"/>
      <c r="B12" s="11"/>
      <c r="C12" s="11"/>
      <c r="D12" s="1">
        <v>0.35499999999999998</v>
      </c>
      <c r="E12" s="1">
        <v>0.65478038999999999</v>
      </c>
      <c r="F12" s="1">
        <v>0.13883330999999999</v>
      </c>
      <c r="G12" s="1">
        <v>0.16473256999999999</v>
      </c>
      <c r="H12" s="1"/>
      <c r="I12" s="1"/>
      <c r="J12" s="1"/>
      <c r="K12" s="1"/>
      <c r="Q12" s="3"/>
    </row>
    <row r="13" spans="1:17" ht="15" customHeight="1" x14ac:dyDescent="0.3">
      <c r="A13" s="11"/>
      <c r="B13" s="11"/>
      <c r="C13" s="11"/>
      <c r="D13" s="1">
        <v>0.36</v>
      </c>
      <c r="E13" s="1">
        <v>0.70641239999999994</v>
      </c>
      <c r="F13" s="1">
        <v>0.14396551000000002</v>
      </c>
      <c r="G13" s="1">
        <v>0.16630022</v>
      </c>
      <c r="H13" s="1"/>
      <c r="I13" s="1"/>
      <c r="J13" s="1"/>
      <c r="K13" s="1"/>
      <c r="Q13" s="3"/>
    </row>
    <row r="14" spans="1:17" ht="15" customHeight="1" x14ac:dyDescent="0.3">
      <c r="A14" s="11"/>
      <c r="B14" s="11"/>
      <c r="C14" s="11"/>
      <c r="D14" s="1">
        <v>0.36499999999999999</v>
      </c>
      <c r="E14" s="1">
        <v>0.74540881000000003</v>
      </c>
      <c r="F14" s="1">
        <v>0.14432844</v>
      </c>
      <c r="G14" s="1">
        <v>0.16761482999999999</v>
      </c>
      <c r="H14" s="1"/>
      <c r="I14" s="1"/>
      <c r="J14" s="1"/>
      <c r="K14" s="1"/>
      <c r="Q14" s="3"/>
    </row>
    <row r="15" spans="1:17" ht="15" customHeight="1" x14ac:dyDescent="0.3">
      <c r="A15" s="11"/>
      <c r="B15" s="11"/>
      <c r="C15" s="11"/>
      <c r="D15" s="1">
        <v>0.37</v>
      </c>
      <c r="E15" s="1">
        <v>0.76551972000000001</v>
      </c>
      <c r="F15" s="1">
        <v>0.14597227999999998</v>
      </c>
      <c r="G15" s="1">
        <v>0.16473478</v>
      </c>
      <c r="H15" s="1"/>
      <c r="I15" s="1"/>
      <c r="J15" s="1"/>
      <c r="K15" s="1"/>
    </row>
    <row r="16" spans="1:17" x14ac:dyDescent="0.3">
      <c r="C16" s="1"/>
      <c r="D16" s="1">
        <v>0.375</v>
      </c>
      <c r="E16" s="1">
        <v>0.75733965000000003</v>
      </c>
      <c r="F16" s="1">
        <v>0.14364155000000001</v>
      </c>
      <c r="G16" s="1">
        <v>0.16355640000000002</v>
      </c>
      <c r="H16" s="1"/>
      <c r="I16" s="1"/>
      <c r="J16" s="1"/>
      <c r="K16" s="1"/>
    </row>
    <row r="17" spans="3:11" x14ac:dyDescent="0.3">
      <c r="C17" s="1"/>
      <c r="D17" s="1">
        <v>0.38</v>
      </c>
      <c r="E17" s="1">
        <v>0.74895478999999998</v>
      </c>
      <c r="F17" s="1">
        <v>0.14211272</v>
      </c>
      <c r="G17" s="1">
        <v>0.15720798</v>
      </c>
      <c r="H17" s="1"/>
      <c r="I17" s="1"/>
      <c r="J17" s="1"/>
      <c r="K17" s="1"/>
    </row>
    <row r="18" spans="3:11" x14ac:dyDescent="0.3">
      <c r="C18" s="1"/>
      <c r="D18" s="1">
        <v>0.38500000000000001</v>
      </c>
      <c r="E18" s="1">
        <v>0.76528417000000004</v>
      </c>
      <c r="F18" s="1">
        <v>0.14306291999999998</v>
      </c>
      <c r="G18" s="1">
        <v>0.15605996999999999</v>
      </c>
      <c r="H18" s="1"/>
      <c r="I18" s="1"/>
      <c r="J18" s="1"/>
      <c r="K18" s="1"/>
    </row>
    <row r="19" spans="3:11" x14ac:dyDescent="0.3">
      <c r="C19" s="1"/>
      <c r="D19" s="1">
        <v>0.39</v>
      </c>
      <c r="E19" s="1">
        <v>0.78801202999999997</v>
      </c>
      <c r="F19" s="1">
        <v>0.14665808</v>
      </c>
      <c r="G19" s="1">
        <v>0.15595761</v>
      </c>
      <c r="H19" s="1"/>
      <c r="I19" s="1"/>
      <c r="J19" s="1"/>
      <c r="K19" s="1"/>
    </row>
    <row r="20" spans="3:11" x14ac:dyDescent="0.3">
      <c r="C20" s="1"/>
      <c r="D20" s="1">
        <v>0.39500000000000002</v>
      </c>
      <c r="E20" s="1">
        <v>0.80041465999999994</v>
      </c>
      <c r="F20" s="1">
        <v>0.14806803999999998</v>
      </c>
      <c r="G20" s="1">
        <v>0.15531111</v>
      </c>
      <c r="H20" s="1"/>
      <c r="I20" s="1"/>
      <c r="J20" s="1"/>
      <c r="K20" s="1"/>
    </row>
    <row r="21" spans="3:11" x14ac:dyDescent="0.3">
      <c r="C21" s="1"/>
      <c r="D21" s="1">
        <v>0.4</v>
      </c>
      <c r="E21" s="1">
        <v>0.80746545999999997</v>
      </c>
      <c r="F21" s="1">
        <v>0.14719403</v>
      </c>
      <c r="G21" s="1">
        <v>0.15352884999999999</v>
      </c>
      <c r="H21" s="1"/>
      <c r="I21" s="1"/>
      <c r="J21" s="1"/>
      <c r="K21" s="1"/>
    </row>
    <row r="22" spans="3:11" x14ac:dyDescent="0.3">
      <c r="C22" s="1"/>
      <c r="D22" s="1">
        <v>0.40500000000000003</v>
      </c>
      <c r="E22" s="1">
        <v>0.81273954000000004</v>
      </c>
      <c r="F22" s="1">
        <v>0.14611341</v>
      </c>
      <c r="G22" s="1">
        <v>0.15178770999999999</v>
      </c>
      <c r="H22" s="1"/>
      <c r="I22" s="1"/>
      <c r="J22" s="1"/>
      <c r="K22" s="1"/>
    </row>
    <row r="23" spans="3:11" x14ac:dyDescent="0.3">
      <c r="C23" s="1"/>
      <c r="D23" s="1">
        <v>0.41</v>
      </c>
      <c r="E23" s="1">
        <v>0.81311791999999994</v>
      </c>
      <c r="F23" s="1">
        <v>0.14384341</v>
      </c>
      <c r="G23" s="1">
        <v>0.14977700999999999</v>
      </c>
      <c r="H23" s="1"/>
      <c r="I23" s="1"/>
      <c r="J23" s="1"/>
      <c r="K23" s="1"/>
    </row>
    <row r="24" spans="3:11" x14ac:dyDescent="0.3">
      <c r="C24" s="1"/>
      <c r="D24" s="1">
        <v>0.41499999999999998</v>
      </c>
      <c r="E24" s="1">
        <v>0.81438300999999991</v>
      </c>
      <c r="F24" s="1">
        <v>0.14154966999999999</v>
      </c>
      <c r="G24" s="1">
        <v>0.14844603000000001</v>
      </c>
      <c r="H24" s="1"/>
      <c r="I24" s="1"/>
      <c r="J24" s="1"/>
      <c r="K24" s="1"/>
    </row>
    <row r="25" spans="3:11" x14ac:dyDescent="0.3">
      <c r="C25" s="1"/>
      <c r="D25" s="1">
        <v>0.42</v>
      </c>
      <c r="E25" s="1">
        <v>0.81199340000000009</v>
      </c>
      <c r="F25" s="1">
        <v>0.13963049</v>
      </c>
      <c r="G25" s="1">
        <v>0.14663116000000001</v>
      </c>
      <c r="H25" s="1"/>
      <c r="I25" s="1"/>
      <c r="J25" s="1"/>
      <c r="K25" s="1"/>
    </row>
    <row r="26" spans="3:11" x14ac:dyDescent="0.3">
      <c r="C26" s="1"/>
      <c r="D26" s="1">
        <v>0.42499999999999999</v>
      </c>
      <c r="E26" s="1">
        <v>0.8137215000000001</v>
      </c>
      <c r="F26" s="1">
        <v>0.13854561000000001</v>
      </c>
      <c r="G26" s="1">
        <v>0.14488377</v>
      </c>
      <c r="H26" s="1"/>
      <c r="I26" s="1"/>
      <c r="J26" s="1"/>
      <c r="K26" s="1"/>
    </row>
    <row r="27" spans="3:11" x14ac:dyDescent="0.3">
      <c r="C27" s="1"/>
      <c r="D27" s="1">
        <v>0.43</v>
      </c>
      <c r="E27" s="1">
        <v>0.81509896999999998</v>
      </c>
      <c r="F27" s="1">
        <v>0.13716065999999999</v>
      </c>
      <c r="G27" s="1">
        <v>0.14310766</v>
      </c>
      <c r="H27" s="1"/>
      <c r="I27" s="1"/>
      <c r="J27" s="1"/>
      <c r="K27" s="1"/>
    </row>
    <row r="28" spans="3:11" x14ac:dyDescent="0.3">
      <c r="C28" s="1"/>
      <c r="D28" s="1">
        <v>0.435</v>
      </c>
      <c r="E28" s="1">
        <v>0.81622905999999995</v>
      </c>
      <c r="F28" s="1">
        <v>0.13616987999999999</v>
      </c>
      <c r="G28" s="1">
        <v>0.14134071000000001</v>
      </c>
      <c r="H28" s="1"/>
      <c r="I28" s="1"/>
      <c r="J28" s="1"/>
      <c r="K28" s="1"/>
    </row>
    <row r="29" spans="3:11" x14ac:dyDescent="0.3">
      <c r="C29" s="1"/>
      <c r="D29" s="1">
        <v>0.44</v>
      </c>
      <c r="E29" s="1">
        <v>0.81779431000000002</v>
      </c>
      <c r="F29" s="1">
        <v>0.13490658</v>
      </c>
      <c r="G29" s="1">
        <v>0.13982220000000001</v>
      </c>
      <c r="H29" s="1"/>
      <c r="I29" s="1"/>
      <c r="J29" s="1"/>
      <c r="K29" s="1"/>
    </row>
    <row r="30" spans="3:11" x14ac:dyDescent="0.3">
      <c r="C30" s="1"/>
      <c r="D30" s="1">
        <v>0.44500000000000001</v>
      </c>
      <c r="E30" s="1">
        <v>0.82107251999999997</v>
      </c>
      <c r="F30" s="1">
        <v>0.13393875</v>
      </c>
      <c r="G30" s="1">
        <v>0.13899453000000001</v>
      </c>
      <c r="H30" s="1"/>
      <c r="I30" s="1"/>
      <c r="J30" s="1"/>
      <c r="K30" s="1"/>
    </row>
    <row r="31" spans="3:11" x14ac:dyDescent="0.3">
      <c r="C31" s="1"/>
      <c r="D31" s="1">
        <v>0.45</v>
      </c>
      <c r="E31" s="1">
        <v>0.82704980000000006</v>
      </c>
      <c r="F31" s="1">
        <v>0.13388063</v>
      </c>
      <c r="G31" s="1">
        <v>0.13780506000000001</v>
      </c>
      <c r="H31" s="1"/>
      <c r="I31" s="1"/>
      <c r="J31" s="1"/>
      <c r="K31" s="1"/>
    </row>
    <row r="32" spans="3:11" x14ac:dyDescent="0.3">
      <c r="C32" s="1"/>
      <c r="D32" s="1">
        <v>0.45500000000000002</v>
      </c>
      <c r="E32" s="1">
        <v>0.83101254999999996</v>
      </c>
      <c r="F32" s="1">
        <v>0.13299446000000001</v>
      </c>
      <c r="G32" s="1">
        <v>0.13727502</v>
      </c>
      <c r="H32" s="1"/>
      <c r="I32" s="1"/>
      <c r="J32" s="1"/>
      <c r="K32" s="1"/>
    </row>
    <row r="33" spans="3:11" x14ac:dyDescent="0.3">
      <c r="C33" s="1"/>
      <c r="D33" s="1">
        <v>0.46</v>
      </c>
      <c r="E33" s="1">
        <v>0.83496123</v>
      </c>
      <c r="F33" s="1">
        <v>0.13245762999999999</v>
      </c>
      <c r="G33" s="1">
        <v>0.13633856</v>
      </c>
      <c r="H33" s="1"/>
      <c r="I33" s="1"/>
      <c r="J33" s="1"/>
      <c r="K33" s="1"/>
    </row>
    <row r="34" spans="3:11" x14ac:dyDescent="0.3">
      <c r="C34" s="1"/>
      <c r="D34" s="1">
        <v>0.46500000000000002</v>
      </c>
      <c r="E34" s="1">
        <v>0.83866580999999996</v>
      </c>
      <c r="F34" s="1">
        <v>0.13234293</v>
      </c>
      <c r="G34" s="1">
        <v>0.1348116</v>
      </c>
      <c r="H34" s="1"/>
      <c r="I34" s="1"/>
      <c r="J34" s="1"/>
      <c r="K34" s="1"/>
    </row>
    <row r="35" spans="3:11" x14ac:dyDescent="0.3">
      <c r="C35" s="1"/>
      <c r="D35" s="1">
        <v>0.47</v>
      </c>
      <c r="E35" s="1">
        <v>0.84120971</v>
      </c>
      <c r="F35" s="1">
        <v>0.13113559999999999</v>
      </c>
      <c r="G35" s="1">
        <v>0.13361644</v>
      </c>
      <c r="H35" s="1"/>
      <c r="I35" s="1"/>
      <c r="J35" s="1"/>
      <c r="K35" s="1"/>
    </row>
    <row r="36" spans="3:11" x14ac:dyDescent="0.3">
      <c r="C36" s="1"/>
      <c r="D36" s="1">
        <v>0.47499999999999998</v>
      </c>
      <c r="E36" s="1">
        <v>0.84322360000000007</v>
      </c>
      <c r="F36" s="1">
        <v>0.12982467</v>
      </c>
      <c r="G36" s="1">
        <v>0.13271880999999999</v>
      </c>
      <c r="H36" s="1"/>
      <c r="I36" s="1"/>
      <c r="J36" s="1"/>
      <c r="K36" s="1"/>
    </row>
    <row r="37" spans="3:11" x14ac:dyDescent="0.3">
      <c r="C37" s="1"/>
      <c r="D37" s="1">
        <v>0.48</v>
      </c>
      <c r="E37" s="1">
        <v>0.84586366999999996</v>
      </c>
      <c r="F37" s="1">
        <v>0.12879258999999998</v>
      </c>
      <c r="G37" s="1">
        <v>0.13154953999999999</v>
      </c>
      <c r="H37" s="1"/>
      <c r="I37" s="1"/>
      <c r="J37" s="1"/>
      <c r="K37" s="1"/>
    </row>
    <row r="38" spans="3:11" x14ac:dyDescent="0.3">
      <c r="C38" s="1"/>
      <c r="D38" s="1">
        <v>0.48499999999999999</v>
      </c>
      <c r="E38" s="1">
        <v>0.84926205999999993</v>
      </c>
      <c r="F38" s="1">
        <v>0.12822701</v>
      </c>
      <c r="G38" s="1">
        <v>0.13056487999999999</v>
      </c>
      <c r="H38" s="1"/>
      <c r="I38" s="1"/>
      <c r="J38" s="1"/>
      <c r="K38" s="1"/>
    </row>
    <row r="39" spans="3:11" x14ac:dyDescent="0.3">
      <c r="C39" s="1"/>
      <c r="D39" s="1">
        <v>0.49</v>
      </c>
      <c r="E39" s="1">
        <v>0.85042590000000007</v>
      </c>
      <c r="F39" s="1">
        <v>0.12740198</v>
      </c>
      <c r="G39" s="1">
        <v>0.12956865000000001</v>
      </c>
      <c r="H39" s="1"/>
      <c r="I39" s="1"/>
      <c r="J39" s="1"/>
      <c r="K39" s="1"/>
    </row>
    <row r="40" spans="3:11" x14ac:dyDescent="0.3">
      <c r="C40" s="1"/>
      <c r="D40" s="1">
        <v>0.495</v>
      </c>
      <c r="E40" s="1">
        <v>0.85047521000000004</v>
      </c>
      <c r="F40" s="1">
        <v>0.12632451</v>
      </c>
      <c r="G40" s="1">
        <v>0.12841168</v>
      </c>
      <c r="H40" s="1"/>
      <c r="I40" s="1"/>
      <c r="J40" s="1"/>
      <c r="K40" s="1"/>
    </row>
    <row r="41" spans="3:11" x14ac:dyDescent="0.3">
      <c r="C41" s="1"/>
      <c r="D41" s="1">
        <v>0.5</v>
      </c>
      <c r="E41" s="1">
        <v>0.85161713000000006</v>
      </c>
      <c r="F41" s="1">
        <v>0.12549734000000001</v>
      </c>
      <c r="G41" s="1">
        <v>0.12766165000000002</v>
      </c>
      <c r="H41" s="1"/>
      <c r="I41" s="1"/>
      <c r="J41" s="1"/>
      <c r="K41" s="1"/>
    </row>
    <row r="42" spans="3:11" x14ac:dyDescent="0.3">
      <c r="C42" s="1"/>
      <c r="D42" s="1">
        <v>0.505</v>
      </c>
      <c r="E42" s="1">
        <v>0.85357157000000006</v>
      </c>
      <c r="F42" s="1">
        <v>0.12468241000000001</v>
      </c>
      <c r="G42" s="1">
        <v>0.12686783000000001</v>
      </c>
      <c r="H42" s="1"/>
      <c r="I42" s="1"/>
      <c r="J42" s="1"/>
      <c r="K42" s="1"/>
    </row>
    <row r="43" spans="3:11" x14ac:dyDescent="0.3">
      <c r="C43" s="1"/>
      <c r="D43" s="1">
        <v>0.51</v>
      </c>
      <c r="E43" s="1">
        <v>0.85471423999999996</v>
      </c>
      <c r="F43" s="1">
        <v>0.12369562000000001</v>
      </c>
      <c r="G43" s="1">
        <v>0.12575089</v>
      </c>
      <c r="H43" s="1"/>
      <c r="I43" s="1"/>
      <c r="J43" s="1"/>
      <c r="K43" s="1"/>
    </row>
    <row r="44" spans="3:11" x14ac:dyDescent="0.3">
      <c r="C44" s="1"/>
      <c r="D44" s="1">
        <v>0.51500000000000001</v>
      </c>
      <c r="E44" s="1">
        <v>0.8553686399999999</v>
      </c>
      <c r="F44" s="1">
        <v>0.12290552</v>
      </c>
      <c r="G44" s="1">
        <v>0.12492748000000001</v>
      </c>
      <c r="H44" s="1"/>
      <c r="I44" s="1"/>
      <c r="J44" s="1"/>
      <c r="K44" s="1"/>
    </row>
    <row r="45" spans="3:11" x14ac:dyDescent="0.3">
      <c r="C45" s="1"/>
      <c r="D45" s="1">
        <v>0.52</v>
      </c>
      <c r="E45" s="1">
        <v>0.85593823000000002</v>
      </c>
      <c r="F45" s="1">
        <v>0.12195963999999999</v>
      </c>
      <c r="G45" s="1">
        <v>0.12380375</v>
      </c>
      <c r="H45" s="1"/>
      <c r="I45" s="1"/>
      <c r="J45" s="1"/>
      <c r="K45" s="1"/>
    </row>
    <row r="46" spans="3:11" x14ac:dyDescent="0.3">
      <c r="C46" s="1"/>
      <c r="D46" s="1">
        <v>0.52500000000000002</v>
      </c>
      <c r="E46" s="1">
        <v>0.85785173999999997</v>
      </c>
      <c r="F46" s="1">
        <v>0.12110509999999999</v>
      </c>
      <c r="G46" s="1">
        <v>0.12286338000000001</v>
      </c>
      <c r="H46" s="1"/>
      <c r="I46" s="1"/>
      <c r="J46" s="1"/>
      <c r="K46" s="1"/>
    </row>
    <row r="47" spans="3:11" x14ac:dyDescent="0.3">
      <c r="C47" s="1"/>
      <c r="D47" s="1">
        <v>0.53</v>
      </c>
      <c r="E47" s="1">
        <v>0.85811519999999997</v>
      </c>
      <c r="F47" s="1">
        <v>0.12025354999999999</v>
      </c>
      <c r="G47" s="1">
        <v>0.12221665</v>
      </c>
      <c r="H47" s="1"/>
      <c r="I47" s="1"/>
      <c r="J47" s="1"/>
      <c r="K47" s="1"/>
    </row>
    <row r="48" spans="3:11" x14ac:dyDescent="0.3">
      <c r="C48" s="1"/>
      <c r="D48" s="1">
        <v>0.53500000000000003</v>
      </c>
      <c r="E48" s="1">
        <v>0.85708651000000002</v>
      </c>
      <c r="F48" s="1">
        <v>0.11919835000000001</v>
      </c>
      <c r="G48" s="1">
        <v>0.12119254</v>
      </c>
      <c r="H48" s="1"/>
      <c r="I48" s="1"/>
      <c r="J48" s="1"/>
      <c r="K48" s="1"/>
    </row>
    <row r="49" spans="3:11" x14ac:dyDescent="0.3">
      <c r="C49" s="1"/>
      <c r="D49" s="1">
        <v>0.54</v>
      </c>
      <c r="E49" s="1">
        <v>0.85815763</v>
      </c>
      <c r="F49" s="1">
        <v>0.11844426000000001</v>
      </c>
      <c r="G49" s="1">
        <v>0.12014390999999999</v>
      </c>
      <c r="H49" s="1"/>
      <c r="I49" s="1"/>
      <c r="J49" s="1"/>
      <c r="K49" s="1"/>
    </row>
    <row r="50" spans="3:11" x14ac:dyDescent="0.3">
      <c r="C50" s="1"/>
      <c r="D50" s="1">
        <v>0.54500000000000004</v>
      </c>
      <c r="E50" s="1">
        <v>0.85862150999999998</v>
      </c>
      <c r="F50" s="1">
        <v>0.11786232000000001</v>
      </c>
      <c r="G50" s="1">
        <v>0.11949021999999999</v>
      </c>
      <c r="H50" s="1"/>
      <c r="I50" s="1"/>
      <c r="J50" s="1"/>
      <c r="K50" s="1"/>
    </row>
    <row r="51" spans="3:11" x14ac:dyDescent="0.3">
      <c r="C51" s="1"/>
      <c r="D51" s="1">
        <v>0.55000000000000004</v>
      </c>
      <c r="E51" s="1">
        <v>0.85805780999999992</v>
      </c>
      <c r="F51" s="1">
        <v>0.11709003</v>
      </c>
      <c r="G51" s="1">
        <v>0.11894658</v>
      </c>
      <c r="H51" s="1"/>
      <c r="I51" s="1"/>
      <c r="J51" s="1"/>
      <c r="K51" s="1"/>
    </row>
    <row r="52" spans="3:11" x14ac:dyDescent="0.3">
      <c r="C52" s="1"/>
      <c r="D52" s="1">
        <v>0.55500000000000005</v>
      </c>
      <c r="E52" s="1">
        <v>0.85856219</v>
      </c>
      <c r="F52" s="1">
        <v>0.11618311000000001</v>
      </c>
      <c r="G52" s="1">
        <v>0.11817113000000001</v>
      </c>
      <c r="H52" s="1"/>
      <c r="I52" s="1"/>
      <c r="J52" s="1"/>
      <c r="K52" s="1"/>
    </row>
    <row r="53" spans="3:11" x14ac:dyDescent="0.3">
      <c r="C53" s="1"/>
      <c r="D53" s="1">
        <v>0.56000000000000005</v>
      </c>
      <c r="E53" s="1">
        <v>0.85778385999999995</v>
      </c>
      <c r="F53" s="1">
        <v>0.11517722</v>
      </c>
      <c r="G53" s="1">
        <v>0.11696988</v>
      </c>
      <c r="H53" s="1"/>
      <c r="I53" s="1"/>
      <c r="J53" s="1"/>
      <c r="K53" s="1"/>
    </row>
    <row r="54" spans="3:11" x14ac:dyDescent="0.3">
      <c r="C54" s="1"/>
      <c r="D54" s="1">
        <v>0.56499999999999995</v>
      </c>
      <c r="E54" s="1">
        <v>0.85694186999999999</v>
      </c>
      <c r="F54" s="1">
        <v>0.1144061</v>
      </c>
      <c r="G54" s="1">
        <v>0.11636703000000001</v>
      </c>
      <c r="H54" s="1"/>
      <c r="I54" s="1"/>
      <c r="J54" s="1"/>
      <c r="K54" s="1"/>
    </row>
    <row r="55" spans="3:11" x14ac:dyDescent="0.3">
      <c r="C55" s="1"/>
      <c r="D55" s="1">
        <v>0.56999999999999995</v>
      </c>
      <c r="E55" s="1">
        <v>0.85639471999999994</v>
      </c>
      <c r="F55" s="1">
        <v>0.11371254</v>
      </c>
      <c r="G55" s="1">
        <v>0.1158318</v>
      </c>
      <c r="H55" s="1"/>
      <c r="I55" s="1"/>
      <c r="J55" s="1"/>
      <c r="K55" s="1"/>
    </row>
    <row r="56" spans="3:11" x14ac:dyDescent="0.3">
      <c r="C56" s="1"/>
      <c r="D56" s="1">
        <v>0.57499999999999996</v>
      </c>
      <c r="E56" s="1">
        <v>0.85457251000000001</v>
      </c>
      <c r="F56" s="1">
        <v>0.11292776</v>
      </c>
      <c r="G56" s="1">
        <v>0.11494937999999999</v>
      </c>
      <c r="H56" s="1"/>
      <c r="I56" s="1"/>
      <c r="J56" s="1"/>
      <c r="K56" s="1"/>
    </row>
    <row r="57" spans="3:11" x14ac:dyDescent="0.3">
      <c r="C57" s="1"/>
      <c r="D57" s="1">
        <v>0.57999999999999996</v>
      </c>
      <c r="E57" s="1">
        <v>0.85304294000000003</v>
      </c>
      <c r="F57" s="1">
        <v>0.11197371</v>
      </c>
      <c r="G57" s="1">
        <v>0.11408576999999999</v>
      </c>
      <c r="H57" s="1"/>
      <c r="I57" s="1"/>
      <c r="J57" s="1"/>
      <c r="K57" s="1"/>
    </row>
    <row r="58" spans="3:11" x14ac:dyDescent="0.3">
      <c r="C58" s="1"/>
      <c r="D58" s="1">
        <v>0.58499999999999996</v>
      </c>
      <c r="E58" s="1">
        <v>0.85253718000000012</v>
      </c>
      <c r="F58" s="1">
        <v>0.11116942999999999</v>
      </c>
      <c r="G58" s="1">
        <v>0.11336828</v>
      </c>
      <c r="H58" s="1"/>
      <c r="I58" s="1"/>
      <c r="J58" s="1"/>
      <c r="K58" s="1"/>
    </row>
    <row r="59" spans="3:11" x14ac:dyDescent="0.3">
      <c r="C59" s="1"/>
      <c r="D59" s="1">
        <v>0.59</v>
      </c>
      <c r="E59" s="1">
        <v>0.85107421999999999</v>
      </c>
      <c r="F59" s="1">
        <v>0.1102991</v>
      </c>
      <c r="G59" s="1">
        <v>0.11261506</v>
      </c>
      <c r="H59" s="1"/>
      <c r="I59" s="1"/>
      <c r="J59" s="1"/>
      <c r="K59" s="1"/>
    </row>
    <row r="60" spans="3:11" x14ac:dyDescent="0.3">
      <c r="C60" s="1"/>
      <c r="D60" s="1">
        <v>0.59499999999999997</v>
      </c>
      <c r="E60" s="1">
        <v>0.84915647000000005</v>
      </c>
      <c r="F60" s="1">
        <v>0.10941165</v>
      </c>
      <c r="G60" s="1">
        <v>0.11186699999999999</v>
      </c>
      <c r="H60" s="1"/>
      <c r="I60" s="1"/>
      <c r="J60" s="1"/>
      <c r="K60" s="1"/>
    </row>
    <row r="61" spans="3:11" x14ac:dyDescent="0.3">
      <c r="C61" s="1"/>
      <c r="D61" s="1">
        <v>0.6</v>
      </c>
      <c r="E61" s="1">
        <v>0.84841066999999992</v>
      </c>
      <c r="F61" s="1">
        <v>0.10863899</v>
      </c>
      <c r="G61" s="1">
        <v>0.11103689</v>
      </c>
      <c r="H61" s="1"/>
      <c r="I61" s="1"/>
      <c r="J61" s="1"/>
      <c r="K61" s="1"/>
    </row>
    <row r="62" spans="3:11" x14ac:dyDescent="0.3">
      <c r="C62" s="1"/>
      <c r="D62" s="1">
        <v>0.60499999999999998</v>
      </c>
      <c r="E62" s="1">
        <v>0.84745887999999991</v>
      </c>
      <c r="F62" s="1">
        <v>0.10787358</v>
      </c>
      <c r="G62" s="1">
        <v>0.11048875000000001</v>
      </c>
      <c r="H62" s="1"/>
      <c r="I62" s="1"/>
      <c r="J62" s="1"/>
      <c r="K62" s="1"/>
    </row>
    <row r="63" spans="3:11" x14ac:dyDescent="0.3">
      <c r="C63" s="1"/>
      <c r="D63" s="1">
        <v>0.61</v>
      </c>
      <c r="E63" s="1">
        <v>0.84587592</v>
      </c>
      <c r="F63" s="1">
        <v>0.10730150999999999</v>
      </c>
      <c r="G63" s="1">
        <v>0.10992946999999999</v>
      </c>
      <c r="H63" s="1"/>
      <c r="I63" s="1"/>
      <c r="J63" s="1"/>
      <c r="K63" s="1"/>
    </row>
    <row r="64" spans="3:11" x14ac:dyDescent="0.3">
      <c r="C64" s="1"/>
      <c r="D64" s="1">
        <v>0.61499999999999999</v>
      </c>
      <c r="E64" s="1">
        <v>0.84404009000000002</v>
      </c>
      <c r="F64" s="1">
        <v>0.10655217</v>
      </c>
      <c r="G64" s="1">
        <v>0.1090269</v>
      </c>
      <c r="H64" s="1"/>
      <c r="I64" s="1"/>
      <c r="J64" s="1"/>
      <c r="K64" s="1"/>
    </row>
    <row r="65" spans="3:11" x14ac:dyDescent="0.3">
      <c r="C65" s="1"/>
      <c r="D65" s="1">
        <v>0.62</v>
      </c>
      <c r="E65" s="1">
        <v>0.84261140999999995</v>
      </c>
      <c r="F65" s="1">
        <v>0.10562898999999999</v>
      </c>
      <c r="G65" s="1">
        <v>0.10823909999999999</v>
      </c>
      <c r="H65" s="1"/>
      <c r="I65" s="1"/>
      <c r="J65" s="1"/>
      <c r="K65" s="1"/>
    </row>
    <row r="66" spans="3:11" x14ac:dyDescent="0.3">
      <c r="C66" s="1"/>
      <c r="D66" s="1">
        <v>0.625</v>
      </c>
      <c r="E66" s="1">
        <v>0.84164205999999997</v>
      </c>
      <c r="F66" s="1">
        <v>0.10483458000000001</v>
      </c>
      <c r="G66" s="1">
        <v>0.10764936999999999</v>
      </c>
      <c r="H66" s="1"/>
      <c r="I66" s="1"/>
      <c r="J66" s="1"/>
      <c r="K66" s="1"/>
    </row>
    <row r="67" spans="3:11" x14ac:dyDescent="0.3">
      <c r="C67" s="1"/>
      <c r="D67" s="1">
        <v>0.63</v>
      </c>
      <c r="E67" s="1">
        <v>0.83911173999999999</v>
      </c>
      <c r="F67" s="1">
        <v>0.10408376999999999</v>
      </c>
      <c r="G67" s="1">
        <v>0.10699802999999999</v>
      </c>
      <c r="H67" s="1"/>
      <c r="I67" s="1"/>
      <c r="J67" s="1"/>
      <c r="K67" s="1"/>
    </row>
    <row r="68" spans="3:11" x14ac:dyDescent="0.3">
      <c r="C68" s="1"/>
      <c r="D68" s="1">
        <v>0.63500000000000001</v>
      </c>
      <c r="E68" s="1">
        <v>0.83602801999999998</v>
      </c>
      <c r="F68" s="1">
        <v>0.10330493</v>
      </c>
      <c r="G68" s="1">
        <v>0.10612747</v>
      </c>
      <c r="H68" s="1"/>
      <c r="I68" s="1"/>
      <c r="J68" s="1"/>
      <c r="K68" s="1"/>
    </row>
    <row r="69" spans="3:11" x14ac:dyDescent="0.3">
      <c r="C69" s="1"/>
      <c r="D69" s="1">
        <v>0.64</v>
      </c>
      <c r="E69" s="1">
        <v>0.83455903000000009</v>
      </c>
      <c r="F69" s="1">
        <v>0.10261758999999999</v>
      </c>
      <c r="G69" s="1">
        <v>0.10545947</v>
      </c>
      <c r="H69" s="1"/>
      <c r="I69" s="1"/>
      <c r="J69" s="1"/>
      <c r="K69" s="1"/>
    </row>
    <row r="70" spans="3:11" x14ac:dyDescent="0.3">
      <c r="C70" s="1"/>
      <c r="D70" s="1">
        <v>0.64500000000000002</v>
      </c>
      <c r="E70" s="1">
        <v>0.83304483000000007</v>
      </c>
      <c r="F70" s="1">
        <v>0.10191079</v>
      </c>
      <c r="G70" s="1">
        <v>0.10481933</v>
      </c>
      <c r="H70" s="1"/>
      <c r="I70" s="1"/>
      <c r="J70" s="1"/>
      <c r="K70" s="1"/>
    </row>
    <row r="71" spans="3:11" x14ac:dyDescent="0.3">
      <c r="C71" s="1"/>
      <c r="D71" s="1">
        <v>0.65</v>
      </c>
      <c r="E71" s="1">
        <v>0.83087462999999995</v>
      </c>
      <c r="F71" s="1">
        <v>0.10106801000000001</v>
      </c>
      <c r="G71" s="1">
        <v>0.10423112</v>
      </c>
      <c r="H71" s="1"/>
      <c r="I71" s="1"/>
      <c r="J71" s="1"/>
      <c r="K71" s="1"/>
    </row>
    <row r="72" spans="3:11" x14ac:dyDescent="0.3">
      <c r="C72" s="1"/>
      <c r="D72" s="1">
        <v>0.65500000000000003</v>
      </c>
      <c r="E72" s="1">
        <v>0.82890964999999994</v>
      </c>
      <c r="F72" s="1">
        <v>0.10037108</v>
      </c>
      <c r="G72" s="1">
        <v>0.10373003</v>
      </c>
      <c r="H72" s="1"/>
      <c r="I72" s="1"/>
      <c r="J72" s="1"/>
      <c r="K72" s="1"/>
    </row>
    <row r="73" spans="3:11" x14ac:dyDescent="0.3">
      <c r="C73" s="1"/>
      <c r="D73" s="1">
        <v>0.66</v>
      </c>
      <c r="E73" s="1">
        <v>0.82710491000000008</v>
      </c>
      <c r="F73" s="1">
        <v>9.9761260000000004E-2</v>
      </c>
      <c r="G73" s="1">
        <v>0.10310794</v>
      </c>
      <c r="H73" s="1"/>
      <c r="I73" s="1"/>
      <c r="J73" s="1"/>
      <c r="K73" s="1"/>
    </row>
    <row r="74" spans="3:11" x14ac:dyDescent="0.3">
      <c r="C74" s="1"/>
      <c r="D74" s="1">
        <v>0.66500000000000004</v>
      </c>
      <c r="E74" s="1">
        <v>0.82491945999999994</v>
      </c>
      <c r="F74" s="1">
        <v>9.919936E-2</v>
      </c>
      <c r="G74" s="1">
        <v>0.10244077000000001</v>
      </c>
      <c r="H74" s="1"/>
      <c r="I74" s="1"/>
      <c r="J74" s="1"/>
      <c r="K74" s="1"/>
    </row>
    <row r="75" spans="3:11" x14ac:dyDescent="0.3">
      <c r="C75" s="1"/>
      <c r="D75" s="1">
        <v>0.67</v>
      </c>
      <c r="E75" s="1">
        <v>0.82277416000000003</v>
      </c>
      <c r="F75" s="1">
        <v>9.872315000000001E-2</v>
      </c>
      <c r="G75" s="1">
        <v>0.10163439000000001</v>
      </c>
      <c r="H75" s="1"/>
      <c r="I75" s="1"/>
      <c r="J75" s="1"/>
      <c r="K75" s="1"/>
    </row>
    <row r="76" spans="3:11" x14ac:dyDescent="0.3">
      <c r="C76" s="1"/>
      <c r="D76" s="1">
        <v>0.67500000000000004</v>
      </c>
      <c r="E76" s="1">
        <v>0.82104569999999999</v>
      </c>
      <c r="F76" s="1">
        <v>9.8102180000000011E-2</v>
      </c>
      <c r="G76" s="1">
        <v>0.10108207999999999</v>
      </c>
      <c r="H76" s="1"/>
      <c r="I76" s="1"/>
      <c r="J76" s="1"/>
      <c r="K76" s="1"/>
    </row>
    <row r="77" spans="3:11" x14ac:dyDescent="0.3">
      <c r="C77" s="1"/>
      <c r="D77" s="1">
        <v>0.68</v>
      </c>
      <c r="E77" s="1">
        <v>0.81965945000000007</v>
      </c>
      <c r="F77" s="1">
        <v>9.7364309999999996E-2</v>
      </c>
      <c r="G77" s="1">
        <v>0.10067102</v>
      </c>
      <c r="H77" s="1"/>
      <c r="I77" s="1"/>
      <c r="J77" s="1"/>
      <c r="K77" s="1"/>
    </row>
    <row r="78" spans="3:11" x14ac:dyDescent="0.3">
      <c r="C78" s="1"/>
      <c r="D78" s="1">
        <v>0.68500000000000005</v>
      </c>
      <c r="E78" s="1">
        <v>0.81749232999999999</v>
      </c>
      <c r="F78" s="1">
        <v>9.6564169999999991E-2</v>
      </c>
      <c r="G78" s="1">
        <v>9.9994689999999997E-2</v>
      </c>
      <c r="H78" s="1"/>
      <c r="I78" s="1"/>
      <c r="J78" s="1"/>
      <c r="K78" s="1"/>
    </row>
    <row r="79" spans="3:11" x14ac:dyDescent="0.3">
      <c r="C79" s="1"/>
      <c r="D79" s="1">
        <v>0.69</v>
      </c>
      <c r="E79" s="1">
        <v>0.81554295999999993</v>
      </c>
      <c r="F79" s="1">
        <v>9.5876420000000004E-2</v>
      </c>
      <c r="G79" s="1">
        <v>9.9490169999999989E-2</v>
      </c>
      <c r="H79" s="1"/>
      <c r="I79" s="1"/>
      <c r="J79" s="1"/>
      <c r="K79" s="1"/>
    </row>
    <row r="80" spans="3:11" x14ac:dyDescent="0.3">
      <c r="C80" s="1"/>
      <c r="D80" s="1">
        <v>0.69499999999999995</v>
      </c>
      <c r="E80" s="1">
        <v>0.81275872000000005</v>
      </c>
      <c r="F80" s="1">
        <v>9.5389719999999997E-2</v>
      </c>
      <c r="G80" s="1">
        <v>9.9094870000000002E-2</v>
      </c>
      <c r="H80" s="1"/>
      <c r="I80" s="1"/>
      <c r="J80" s="1"/>
      <c r="K80" s="1"/>
    </row>
    <row r="81" spans="3:11" x14ac:dyDescent="0.3">
      <c r="C81" s="1"/>
      <c r="D81" s="1">
        <v>0.7</v>
      </c>
      <c r="E81" s="1">
        <v>0.81044497000000004</v>
      </c>
      <c r="F81" s="1">
        <v>9.4643519999999995E-2</v>
      </c>
      <c r="G81" s="1">
        <v>9.8367900000000008E-2</v>
      </c>
      <c r="H81" s="1"/>
      <c r="I81" s="1"/>
      <c r="J81" s="1"/>
      <c r="K81" s="1"/>
    </row>
    <row r="82" spans="3:11" x14ac:dyDescent="0.3">
      <c r="C82" s="1"/>
      <c r="D82" s="1">
        <v>0.70499999999999996</v>
      </c>
      <c r="E82" s="1">
        <v>0.80867672000000002</v>
      </c>
      <c r="F82" s="1">
        <v>9.4169560000000013E-2</v>
      </c>
      <c r="G82" s="1">
        <v>9.7835359999999996E-2</v>
      </c>
      <c r="H82" s="1"/>
      <c r="I82" s="1"/>
      <c r="J82" s="1"/>
      <c r="K82" s="1"/>
    </row>
    <row r="83" spans="3:11" x14ac:dyDescent="0.3">
      <c r="C83" s="1"/>
      <c r="D83" s="1">
        <v>0.71</v>
      </c>
      <c r="E83" s="1">
        <v>0.80666591999999993</v>
      </c>
      <c r="F83" s="1">
        <v>9.3700329999999998E-2</v>
      </c>
      <c r="G83" s="1">
        <v>9.7091170000000004E-2</v>
      </c>
      <c r="H83" s="1"/>
      <c r="I83" s="1"/>
      <c r="J83" s="1"/>
      <c r="K83" s="1"/>
    </row>
    <row r="84" spans="3:11" x14ac:dyDescent="0.3">
      <c r="C84" s="1"/>
      <c r="D84" s="1">
        <v>0.71499999999999997</v>
      </c>
      <c r="E84" s="1">
        <v>0.80475622999999996</v>
      </c>
      <c r="F84" s="1">
        <v>9.2917249999999993E-2</v>
      </c>
      <c r="G84" s="1">
        <v>9.6541720000000011E-2</v>
      </c>
      <c r="H84" s="1"/>
      <c r="I84" s="1"/>
      <c r="J84" s="1"/>
      <c r="K84" s="1"/>
    </row>
    <row r="85" spans="3:11" x14ac:dyDescent="0.3">
      <c r="C85" s="1"/>
      <c r="D85" s="1">
        <v>0.72</v>
      </c>
      <c r="E85" s="1">
        <v>0.80139501999999996</v>
      </c>
      <c r="F85" s="1">
        <v>9.2273610000000006E-2</v>
      </c>
      <c r="G85" s="1">
        <v>9.6033839999999995E-2</v>
      </c>
      <c r="H85" s="1"/>
      <c r="I85" s="1"/>
      <c r="J85" s="1"/>
      <c r="K85" s="1"/>
    </row>
    <row r="86" spans="3:11" x14ac:dyDescent="0.3">
      <c r="C86" s="1"/>
      <c r="D86" s="1">
        <v>0.72499999999999998</v>
      </c>
      <c r="E86" s="1">
        <v>0.79837107000000007</v>
      </c>
      <c r="F86" s="1">
        <v>9.1710020000000003E-2</v>
      </c>
      <c r="G86" s="1">
        <v>9.556837E-2</v>
      </c>
      <c r="H86" s="1"/>
      <c r="I86" s="1"/>
      <c r="J86" s="1"/>
      <c r="K86" s="1"/>
    </row>
    <row r="87" spans="3:11" x14ac:dyDescent="0.3">
      <c r="C87" s="1"/>
      <c r="D87" s="1">
        <v>0.73</v>
      </c>
      <c r="E87" s="1">
        <v>0.79578472</v>
      </c>
      <c r="F87" s="1">
        <v>9.1111170000000005E-2</v>
      </c>
      <c r="G87" s="1">
        <v>9.4960050000000004E-2</v>
      </c>
      <c r="H87" s="1"/>
      <c r="I87" s="1"/>
      <c r="J87" s="1"/>
      <c r="K87" s="1"/>
    </row>
    <row r="88" spans="3:11" x14ac:dyDescent="0.3">
      <c r="C88" s="1"/>
      <c r="D88" s="1">
        <v>0.73499999999999999</v>
      </c>
      <c r="E88" s="1">
        <v>0.79298967000000009</v>
      </c>
      <c r="F88" s="1">
        <v>9.0308639999999996E-2</v>
      </c>
      <c r="G88" s="1">
        <v>9.4255169999999999E-2</v>
      </c>
      <c r="H88" s="1"/>
      <c r="I88" s="1"/>
      <c r="J88" s="1"/>
      <c r="K88" s="1"/>
    </row>
    <row r="89" spans="3:11" x14ac:dyDescent="0.3">
      <c r="C89" s="1"/>
      <c r="D89" s="1">
        <v>0.74</v>
      </c>
      <c r="E89" s="1">
        <v>0.79051046000000003</v>
      </c>
      <c r="F89" s="1">
        <v>8.9587479999999997E-2</v>
      </c>
      <c r="G89" s="1">
        <v>9.3907229999999994E-2</v>
      </c>
      <c r="H89" s="1"/>
      <c r="I89" s="1"/>
      <c r="J89" s="1"/>
      <c r="K89" s="1"/>
    </row>
    <row r="90" spans="3:11" x14ac:dyDescent="0.3">
      <c r="C90" s="1"/>
      <c r="D90" s="1">
        <v>0.745</v>
      </c>
      <c r="E90" s="1">
        <v>0.78758105999999994</v>
      </c>
      <c r="F90" s="1">
        <v>8.9244190000000001E-2</v>
      </c>
      <c r="G90" s="1">
        <v>9.3462890000000007E-2</v>
      </c>
      <c r="H90" s="1"/>
      <c r="I90" s="1"/>
      <c r="J90" s="1"/>
      <c r="K90" s="1"/>
    </row>
    <row r="91" spans="3:11" x14ac:dyDescent="0.3">
      <c r="C91" s="1"/>
      <c r="D91" s="1">
        <v>0.75</v>
      </c>
      <c r="E91" s="1">
        <v>0.78431180999999994</v>
      </c>
      <c r="F91" s="1">
        <v>8.8857800000000001E-2</v>
      </c>
      <c r="G91" s="1">
        <v>9.3141099999999991E-2</v>
      </c>
      <c r="H91" s="1"/>
      <c r="I91" s="1"/>
      <c r="J91" s="1"/>
      <c r="K91" s="1"/>
    </row>
    <row r="92" spans="3:11" x14ac:dyDescent="0.3">
      <c r="C92" s="1"/>
      <c r="D92" s="1">
        <v>0.755</v>
      </c>
      <c r="E92" s="1">
        <v>0.78142707999999994</v>
      </c>
      <c r="F92" s="1">
        <v>8.8286809999999993E-2</v>
      </c>
      <c r="G92" s="1">
        <v>9.265762000000001E-2</v>
      </c>
      <c r="H92" s="1"/>
      <c r="I92" s="1"/>
      <c r="J92" s="1"/>
      <c r="K92" s="1"/>
    </row>
    <row r="93" spans="3:11" x14ac:dyDescent="0.3">
      <c r="C93" s="1"/>
      <c r="D93" s="1">
        <v>0.76</v>
      </c>
      <c r="E93" s="1">
        <v>0.77894471999999992</v>
      </c>
      <c r="F93" s="1">
        <v>8.7906659999999998E-2</v>
      </c>
      <c r="G93" s="1">
        <v>9.2138629999999999E-2</v>
      </c>
      <c r="H93" s="1"/>
      <c r="I93" s="1"/>
      <c r="J93" s="1"/>
      <c r="K93" s="1"/>
    </row>
    <row r="94" spans="3:11" x14ac:dyDescent="0.3">
      <c r="C94" s="1"/>
      <c r="D94" s="1">
        <v>0.76500000000000001</v>
      </c>
      <c r="E94" s="1">
        <v>0.77732822000000001</v>
      </c>
      <c r="F94" s="1">
        <v>8.7255189999999996E-2</v>
      </c>
      <c r="G94" s="1">
        <v>9.1743279999999996E-2</v>
      </c>
      <c r="H94" s="1"/>
      <c r="I94" s="1"/>
      <c r="J94" s="1"/>
      <c r="K94" s="1"/>
    </row>
    <row r="95" spans="3:11" x14ac:dyDescent="0.3">
      <c r="C95" s="1"/>
      <c r="D95" s="1">
        <v>0.77</v>
      </c>
      <c r="E95" s="1">
        <v>0.77350441999999997</v>
      </c>
      <c r="F95" s="1">
        <v>8.6726490000000003E-2</v>
      </c>
      <c r="G95" s="1">
        <v>9.0927030000000006E-2</v>
      </c>
      <c r="H95" s="1"/>
      <c r="I95" s="1"/>
      <c r="J95" s="1"/>
      <c r="K95" s="1"/>
    </row>
    <row r="96" spans="3:11" x14ac:dyDescent="0.3">
      <c r="C96" s="1"/>
      <c r="D96" s="1">
        <v>0.77500000000000002</v>
      </c>
      <c r="E96" s="1">
        <v>0.76989507999999995</v>
      </c>
      <c r="F96" s="1">
        <v>8.6215480000000011E-2</v>
      </c>
      <c r="G96" s="1">
        <v>9.0304680000000012E-2</v>
      </c>
      <c r="H96" s="1"/>
      <c r="I96" s="1"/>
      <c r="J96" s="1"/>
      <c r="K96" s="1"/>
    </row>
    <row r="97" spans="3:11" x14ac:dyDescent="0.3">
      <c r="C97" s="1"/>
      <c r="D97" s="1">
        <v>0.78</v>
      </c>
      <c r="E97" s="1">
        <v>0.76795951000000007</v>
      </c>
      <c r="F97" s="1">
        <v>8.5620729999999992E-2</v>
      </c>
      <c r="G97" s="1">
        <v>9.0009720000000015E-2</v>
      </c>
      <c r="H97" s="1"/>
      <c r="I97" s="1"/>
      <c r="J97" s="1"/>
      <c r="K97" s="1"/>
    </row>
    <row r="98" spans="3:11" x14ac:dyDescent="0.3">
      <c r="C98" s="1"/>
      <c r="D98" s="1">
        <v>0.78500000000000003</v>
      </c>
      <c r="E98" s="1">
        <v>0.76502159000000003</v>
      </c>
      <c r="F98" s="1">
        <v>8.478427999999999E-2</v>
      </c>
      <c r="G98" s="1">
        <v>8.9377970000000001E-2</v>
      </c>
      <c r="H98" s="1"/>
      <c r="I98" s="1"/>
      <c r="J98" s="1"/>
      <c r="K98" s="1"/>
    </row>
    <row r="99" spans="3:11" x14ac:dyDescent="0.3">
      <c r="C99" s="1"/>
      <c r="D99" s="1">
        <v>0.79</v>
      </c>
      <c r="E99" s="1">
        <v>0.76189088999999999</v>
      </c>
      <c r="F99" s="1">
        <v>8.4335299999999988E-2</v>
      </c>
      <c r="G99" s="1">
        <v>8.8907860000000005E-2</v>
      </c>
      <c r="H99" s="1"/>
      <c r="I99" s="1"/>
      <c r="J99" s="1"/>
      <c r="K99" s="1"/>
    </row>
    <row r="100" spans="3:11" x14ac:dyDescent="0.3">
      <c r="C100" s="1"/>
      <c r="D100" s="1">
        <v>0.79500000000000004</v>
      </c>
      <c r="E100" s="1">
        <v>0.75968007999999998</v>
      </c>
      <c r="F100" s="1">
        <v>8.5705380000000012E-2</v>
      </c>
      <c r="G100" s="1">
        <v>9.007011999999999E-2</v>
      </c>
      <c r="H100" s="1"/>
      <c r="I100" s="1"/>
      <c r="J100" s="1"/>
      <c r="K100" s="1"/>
    </row>
    <row r="101" spans="3:11" x14ac:dyDescent="0.3">
      <c r="C101" s="1"/>
      <c r="D101" s="1">
        <v>0.8</v>
      </c>
      <c r="E101" s="1">
        <v>0.75750729999999999</v>
      </c>
      <c r="F101" s="1">
        <v>8.7084259999999997E-2</v>
      </c>
      <c r="G101" s="1">
        <v>9.1244019999999995E-2</v>
      </c>
      <c r="H101" s="1"/>
      <c r="I101" s="1"/>
      <c r="J101" s="1"/>
      <c r="K101" s="1"/>
    </row>
    <row r="102" spans="3:11" x14ac:dyDescent="0.3">
      <c r="C102" s="1"/>
      <c r="D102" s="1">
        <v>0.80500000000000005</v>
      </c>
      <c r="E102" s="1">
        <v>0.75430543999999999</v>
      </c>
      <c r="F102" s="1">
        <v>8.6897699999999994E-2</v>
      </c>
      <c r="G102" s="1">
        <v>8.9903650000000002E-2</v>
      </c>
      <c r="H102" s="1"/>
      <c r="I102" s="1"/>
      <c r="J102" s="1"/>
      <c r="K102" s="1"/>
    </row>
    <row r="103" spans="3:11" x14ac:dyDescent="0.3">
      <c r="C103" s="1"/>
      <c r="D103" s="1">
        <v>0.81</v>
      </c>
      <c r="E103" s="1">
        <v>0.75253150000000002</v>
      </c>
      <c r="F103" s="1">
        <v>8.6211969999999999E-2</v>
      </c>
      <c r="G103" s="1">
        <v>8.9323320000000012E-2</v>
      </c>
      <c r="H103" s="1"/>
      <c r="I103" s="1"/>
      <c r="J103" s="1"/>
      <c r="K103" s="1"/>
    </row>
    <row r="104" spans="3:11" x14ac:dyDescent="0.3">
      <c r="C104" s="1"/>
      <c r="D104" s="1">
        <v>0.81499999999999995</v>
      </c>
      <c r="E104" s="1">
        <v>0.75042355000000005</v>
      </c>
      <c r="F104" s="1">
        <v>8.5100189999999992E-2</v>
      </c>
      <c r="G104" s="1">
        <v>8.884990999999999E-2</v>
      </c>
      <c r="H104" s="1"/>
      <c r="I104" s="1"/>
      <c r="J104" s="1"/>
      <c r="K104" s="1"/>
    </row>
    <row r="105" spans="3:11" x14ac:dyDescent="0.3">
      <c r="C105" s="1"/>
      <c r="D105" s="1">
        <v>0.82</v>
      </c>
      <c r="E105" s="1">
        <v>0.74712603</v>
      </c>
      <c r="F105" s="1">
        <v>8.4413530000000001E-2</v>
      </c>
      <c r="G105" s="1">
        <v>8.8579840000000007E-2</v>
      </c>
      <c r="H105" s="1"/>
      <c r="I105" s="1"/>
      <c r="J105" s="1"/>
      <c r="K105" s="1"/>
    </row>
    <row r="106" spans="3:11" x14ac:dyDescent="0.3">
      <c r="C106" s="1"/>
      <c r="D106" s="1">
        <v>0.82499999999999996</v>
      </c>
      <c r="E106" s="1">
        <v>0.74545312999999991</v>
      </c>
      <c r="F106" s="1">
        <v>8.3934149999999985E-2</v>
      </c>
      <c r="G106" s="1">
        <v>8.8455489999999998E-2</v>
      </c>
      <c r="H106" s="1"/>
      <c r="I106" s="1"/>
      <c r="J106" s="1"/>
      <c r="K106" s="1"/>
    </row>
    <row r="107" spans="3:11" x14ac:dyDescent="0.3">
      <c r="C107" s="1"/>
      <c r="D107" s="1">
        <v>0.83</v>
      </c>
      <c r="E107" s="1">
        <v>0.7433246</v>
      </c>
      <c r="F107" s="1">
        <v>8.2790789999999989E-2</v>
      </c>
      <c r="G107" s="1">
        <v>8.8129840000000001E-2</v>
      </c>
      <c r="H107" s="1"/>
      <c r="I107" s="1"/>
      <c r="J107" s="1"/>
      <c r="K107" s="1"/>
    </row>
    <row r="108" spans="3:11" x14ac:dyDescent="0.3">
      <c r="C108" s="1"/>
      <c r="D108" s="1">
        <v>0.83499999999999996</v>
      </c>
      <c r="E108" s="1">
        <v>0.74193184000000001</v>
      </c>
      <c r="F108" s="1">
        <v>8.2027300000000011E-2</v>
      </c>
      <c r="G108" s="1">
        <v>8.7373980000000004E-2</v>
      </c>
      <c r="H108" s="1"/>
      <c r="I108" s="1"/>
      <c r="J108" s="1"/>
      <c r="K108" s="1"/>
    </row>
    <row r="109" spans="3:11" x14ac:dyDescent="0.3">
      <c r="C109" s="1"/>
      <c r="D109" s="1">
        <v>0.84</v>
      </c>
      <c r="E109" s="1">
        <v>0.74011413999999998</v>
      </c>
      <c r="F109" s="1">
        <v>8.259380999999999E-2</v>
      </c>
      <c r="G109" s="1">
        <v>8.6623990000000012E-2</v>
      </c>
      <c r="H109" s="1"/>
      <c r="I109" s="1"/>
      <c r="J109" s="1"/>
      <c r="K109" s="1"/>
    </row>
    <row r="110" spans="3:11" x14ac:dyDescent="0.3">
      <c r="C110" s="1"/>
      <c r="D110" s="1">
        <v>0.84499999999999997</v>
      </c>
      <c r="E110" s="1">
        <v>0.73859990999999992</v>
      </c>
      <c r="F110" s="1">
        <v>8.2404969999999994E-2</v>
      </c>
      <c r="G110" s="1">
        <v>8.673866999999999E-2</v>
      </c>
      <c r="H110" s="1"/>
      <c r="I110" s="1"/>
      <c r="J110" s="1"/>
      <c r="K110" s="1"/>
    </row>
    <row r="111" spans="3:11" x14ac:dyDescent="0.3">
      <c r="C111" s="1"/>
      <c r="D111" s="1">
        <v>0.85</v>
      </c>
      <c r="E111" s="1">
        <v>0.73649131000000001</v>
      </c>
      <c r="F111" s="1">
        <v>8.2891359999999997E-2</v>
      </c>
      <c r="G111" s="1">
        <v>8.5936170000000006E-2</v>
      </c>
      <c r="H111" s="1"/>
      <c r="I111" s="1"/>
      <c r="J111" s="1"/>
      <c r="K111" s="1"/>
    </row>
    <row r="112" spans="3:11" x14ac:dyDescent="0.3">
      <c r="C112" s="1"/>
      <c r="D112" s="1">
        <v>0.85499999999999998</v>
      </c>
      <c r="E112" s="1">
        <v>0.73390808000000007</v>
      </c>
      <c r="F112" s="1">
        <v>8.2216229999999987E-2</v>
      </c>
      <c r="G112" s="1">
        <v>8.5732900000000001E-2</v>
      </c>
      <c r="H112" s="1"/>
      <c r="I112" s="1"/>
      <c r="J112" s="1"/>
      <c r="K112" s="1"/>
    </row>
    <row r="113" spans="3:11" x14ac:dyDescent="0.3">
      <c r="C113" s="1"/>
      <c r="D113" s="1">
        <v>0.86</v>
      </c>
      <c r="E113" s="1">
        <v>0.73320476999999995</v>
      </c>
      <c r="F113" s="1">
        <v>8.1833100000000006E-2</v>
      </c>
      <c r="G113" s="1">
        <v>8.5968450000000002E-2</v>
      </c>
      <c r="H113" s="1"/>
      <c r="I113" s="1"/>
      <c r="J113" s="1"/>
      <c r="K113" s="1"/>
    </row>
    <row r="114" spans="3:11" x14ac:dyDescent="0.3">
      <c r="C114" s="1"/>
      <c r="D114" s="1">
        <v>0.86499999999999999</v>
      </c>
      <c r="E114" s="1">
        <v>0.73162895999999999</v>
      </c>
      <c r="F114" s="1">
        <v>8.1670590000000001E-2</v>
      </c>
      <c r="G114" s="1">
        <v>8.5405770000000006E-2</v>
      </c>
      <c r="H114" s="1"/>
      <c r="I114" s="1"/>
      <c r="J114" s="1"/>
      <c r="K114" s="1"/>
    </row>
    <row r="115" spans="3:11" x14ac:dyDescent="0.3">
      <c r="C115" s="1"/>
      <c r="D115" s="1">
        <v>0.87</v>
      </c>
      <c r="E115" s="1">
        <v>0.72970989000000008</v>
      </c>
      <c r="F115" s="1">
        <v>8.107723E-2</v>
      </c>
      <c r="G115" s="1">
        <v>8.553347E-2</v>
      </c>
      <c r="H115" s="1"/>
      <c r="I115" s="1"/>
      <c r="J115" s="1"/>
      <c r="K115" s="1"/>
    </row>
    <row r="116" spans="3:11" x14ac:dyDescent="0.3">
      <c r="C116" s="1"/>
      <c r="D116" s="1">
        <v>0.875</v>
      </c>
      <c r="E116" s="1">
        <v>0.72817468000000007</v>
      </c>
      <c r="F116" s="1">
        <v>8.0859919999999988E-2</v>
      </c>
      <c r="G116" s="1">
        <v>8.4965059999999995E-2</v>
      </c>
      <c r="H116" s="1"/>
      <c r="I116" s="1"/>
      <c r="J116" s="1"/>
      <c r="K116" s="1"/>
    </row>
    <row r="117" spans="3:11" x14ac:dyDescent="0.3">
      <c r="C117" s="1"/>
      <c r="D117" s="1">
        <v>0.88</v>
      </c>
      <c r="E117" s="1">
        <v>0.72642784000000005</v>
      </c>
      <c r="F117" s="1">
        <v>8.0580520000000003E-2</v>
      </c>
      <c r="G117" s="1">
        <v>8.4265859999999998E-2</v>
      </c>
      <c r="H117" s="1"/>
      <c r="I117" s="1"/>
      <c r="J117" s="1"/>
      <c r="K117" s="1"/>
    </row>
    <row r="118" spans="3:11" x14ac:dyDescent="0.3">
      <c r="C118" s="1"/>
      <c r="D118" s="1">
        <v>0.88500000000000001</v>
      </c>
      <c r="E118" s="1">
        <v>0.72490675999999998</v>
      </c>
      <c r="F118" s="1">
        <v>8.012641999999999E-2</v>
      </c>
      <c r="G118" s="1">
        <v>8.409519E-2</v>
      </c>
      <c r="H118" s="1"/>
      <c r="I118" s="1"/>
      <c r="J118" s="1"/>
      <c r="K118" s="1"/>
    </row>
    <row r="119" spans="3:11" x14ac:dyDescent="0.3">
      <c r="C119" s="1"/>
      <c r="D119" s="1">
        <v>0.89</v>
      </c>
      <c r="E119" s="1">
        <v>0.72384490000000001</v>
      </c>
      <c r="F119" s="1">
        <v>7.9942219999999994E-2</v>
      </c>
      <c r="G119" s="1">
        <v>8.3714720000000006E-2</v>
      </c>
      <c r="H119" s="1"/>
      <c r="I119" s="1"/>
      <c r="J119" s="1"/>
      <c r="K119" s="1"/>
    </row>
    <row r="120" spans="3:11" x14ac:dyDescent="0.3">
      <c r="C120" s="1"/>
      <c r="D120" s="1">
        <v>0.89500000000000002</v>
      </c>
      <c r="E120" s="1">
        <v>0.72257137999999999</v>
      </c>
      <c r="F120" s="1">
        <v>7.9503779999999996E-2</v>
      </c>
      <c r="G120" s="1">
        <v>8.3405430000000003E-2</v>
      </c>
      <c r="H120" s="1"/>
      <c r="I120" s="1"/>
      <c r="J120" s="1"/>
      <c r="K120" s="1"/>
    </row>
    <row r="121" spans="3:11" x14ac:dyDescent="0.3">
      <c r="C121" s="1"/>
      <c r="D121" s="1">
        <v>0.9</v>
      </c>
      <c r="E121" s="1">
        <v>0.72161891</v>
      </c>
      <c r="F121" s="1">
        <v>7.9259049999999998E-2</v>
      </c>
      <c r="G121" s="1">
        <v>8.3472299999999999E-2</v>
      </c>
      <c r="H121" s="1"/>
      <c r="I121" s="1"/>
      <c r="J121" s="1"/>
      <c r="K121" s="1"/>
    </row>
    <row r="122" spans="3:11" x14ac:dyDescent="0.3">
      <c r="C122" s="1"/>
      <c r="D122" s="1">
        <v>0.90500000000000003</v>
      </c>
      <c r="E122" s="1">
        <v>0.72049389000000008</v>
      </c>
      <c r="F122" s="1">
        <v>7.8970129999999999E-2</v>
      </c>
      <c r="G122" s="1">
        <v>8.3279060000000002E-2</v>
      </c>
      <c r="H122" s="1"/>
      <c r="I122" s="1"/>
      <c r="J122" s="1"/>
      <c r="K122" s="1"/>
    </row>
    <row r="123" spans="3:11" x14ac:dyDescent="0.3">
      <c r="C123" s="1"/>
      <c r="D123" s="1">
        <v>0.91</v>
      </c>
      <c r="E123" s="1">
        <v>0.71920083000000001</v>
      </c>
      <c r="F123" s="1">
        <v>7.893261E-2</v>
      </c>
      <c r="G123" s="1">
        <v>8.2995319999999997E-2</v>
      </c>
      <c r="H123" s="1"/>
      <c r="I123" s="1"/>
      <c r="J123" s="1"/>
      <c r="K123" s="1"/>
    </row>
    <row r="124" spans="3:11" x14ac:dyDescent="0.3">
      <c r="C124" s="1"/>
      <c r="D124" s="1">
        <v>0.91500000000000004</v>
      </c>
      <c r="E124" s="1">
        <v>0.71811375</v>
      </c>
      <c r="F124" s="1">
        <v>7.8695310000000004E-2</v>
      </c>
      <c r="G124" s="1">
        <v>8.2703390000000002E-2</v>
      </c>
      <c r="H124" s="1"/>
      <c r="I124" s="1"/>
      <c r="J124" s="1"/>
      <c r="K124" s="1"/>
    </row>
    <row r="125" spans="3:11" x14ac:dyDescent="0.3">
      <c r="C125" s="1"/>
      <c r="D125" s="1">
        <v>0.92</v>
      </c>
      <c r="E125" s="1">
        <v>0.71735415999999996</v>
      </c>
      <c r="F125" s="1">
        <v>7.8422450000000005E-2</v>
      </c>
      <c r="G125" s="1">
        <v>8.2455359999999991E-2</v>
      </c>
      <c r="H125" s="1"/>
      <c r="I125" s="1"/>
      <c r="J125" s="1"/>
      <c r="K125" s="1"/>
    </row>
    <row r="126" spans="3:11" x14ac:dyDescent="0.3">
      <c r="C126" s="1"/>
      <c r="D126" s="1">
        <v>0.92500000000000004</v>
      </c>
      <c r="E126" s="1">
        <v>0.71639978999999998</v>
      </c>
      <c r="F126" s="1">
        <v>7.820858E-2</v>
      </c>
      <c r="G126" s="1">
        <v>8.2137569999999993E-2</v>
      </c>
      <c r="H126" s="1"/>
      <c r="I126" s="1"/>
      <c r="J126" s="1"/>
      <c r="K126" s="1"/>
    </row>
    <row r="127" spans="3:11" x14ac:dyDescent="0.3">
      <c r="C127" s="1"/>
      <c r="D127" s="1">
        <v>0.93</v>
      </c>
      <c r="E127" s="1">
        <v>0.71545286000000008</v>
      </c>
      <c r="F127" s="1">
        <v>7.8092400000000006E-2</v>
      </c>
      <c r="G127" s="1">
        <v>8.1908110000000006E-2</v>
      </c>
      <c r="H127" s="1"/>
      <c r="I127" s="1"/>
      <c r="J127" s="1"/>
      <c r="K127" s="1"/>
    </row>
    <row r="128" spans="3:11" x14ac:dyDescent="0.3">
      <c r="C128" s="1"/>
      <c r="D128" s="1">
        <v>0.93500000000000005</v>
      </c>
      <c r="E128" s="1">
        <v>0.71452550000000004</v>
      </c>
      <c r="F128" s="1">
        <v>7.789691E-2</v>
      </c>
      <c r="G128" s="1">
        <v>8.174141E-2</v>
      </c>
      <c r="H128" s="1"/>
      <c r="I128" s="1"/>
      <c r="J128" s="1"/>
      <c r="K128" s="1"/>
    </row>
    <row r="129" spans="3:11" x14ac:dyDescent="0.3">
      <c r="C129" s="1"/>
      <c r="D129" s="1">
        <v>0.94</v>
      </c>
      <c r="E129" s="1">
        <v>0.71355270000000004</v>
      </c>
      <c r="F129" s="1">
        <v>7.7683859999999993E-2</v>
      </c>
      <c r="G129" s="1">
        <v>8.1548120000000002E-2</v>
      </c>
      <c r="H129" s="1"/>
      <c r="I129" s="1"/>
      <c r="J129" s="1"/>
      <c r="K129" s="1"/>
    </row>
    <row r="130" spans="3:11" x14ac:dyDescent="0.3">
      <c r="C130" s="1"/>
      <c r="D130" s="1">
        <v>0.94499999999999995</v>
      </c>
      <c r="E130" s="1">
        <v>0.7125125699999999</v>
      </c>
      <c r="F130" s="1">
        <v>7.7493779999999998E-2</v>
      </c>
      <c r="G130" s="1">
        <v>8.1244639999999993E-2</v>
      </c>
      <c r="H130" s="1"/>
      <c r="I130" s="1"/>
      <c r="J130" s="1"/>
      <c r="K130" s="1"/>
    </row>
    <row r="131" spans="3:11" x14ac:dyDescent="0.3">
      <c r="C131" s="1"/>
      <c r="D131" s="1">
        <v>0.95</v>
      </c>
      <c r="E131" s="1">
        <v>0.71170995000000004</v>
      </c>
      <c r="F131" s="1">
        <v>7.7238150000000005E-2</v>
      </c>
      <c r="G131" s="1">
        <v>8.089325E-2</v>
      </c>
      <c r="H131" s="1"/>
      <c r="I131" s="1"/>
      <c r="J131" s="1"/>
      <c r="K131" s="1"/>
    </row>
    <row r="132" spans="3:11" x14ac:dyDescent="0.3">
      <c r="C132" s="1"/>
      <c r="D132" s="1">
        <v>0.95499999999999996</v>
      </c>
      <c r="E132" s="1">
        <v>0.71122264999999996</v>
      </c>
      <c r="F132" s="1">
        <v>7.7118770000000003E-2</v>
      </c>
      <c r="G132" s="1">
        <v>8.0700519999999998E-2</v>
      </c>
      <c r="H132" s="1"/>
      <c r="I132" s="1"/>
      <c r="J132" s="1"/>
      <c r="K132" s="1"/>
    </row>
    <row r="133" spans="3:11" x14ac:dyDescent="0.3">
      <c r="C133" s="1"/>
      <c r="D133" s="1">
        <v>0.96</v>
      </c>
      <c r="E133" s="1">
        <v>0.71068200999999998</v>
      </c>
      <c r="F133" s="1">
        <v>7.7151629999999999E-2</v>
      </c>
      <c r="G133" s="1">
        <v>8.0639409999999995E-2</v>
      </c>
      <c r="H133" s="1"/>
      <c r="I133" s="1"/>
      <c r="J133" s="1"/>
      <c r="K133" s="1"/>
    </row>
    <row r="134" spans="3:11" x14ac:dyDescent="0.3">
      <c r="C134" s="1"/>
      <c r="D134" s="1">
        <v>0.96499999999999997</v>
      </c>
      <c r="E134" s="1">
        <v>0.71014013000000009</v>
      </c>
      <c r="F134" s="1">
        <v>7.714718999999999E-2</v>
      </c>
      <c r="G134" s="1">
        <v>8.0801970000000001E-2</v>
      </c>
      <c r="H134" s="1"/>
      <c r="I134" s="1"/>
      <c r="J134" s="1"/>
      <c r="K134" s="1"/>
    </row>
    <row r="135" spans="3:11" x14ac:dyDescent="0.3">
      <c r="C135" s="1"/>
      <c r="D135" s="1">
        <v>0.97</v>
      </c>
      <c r="E135" s="1">
        <v>0.70966814</v>
      </c>
      <c r="F135" s="1">
        <v>7.7197740000000001E-2</v>
      </c>
      <c r="G135" s="1">
        <v>8.086074E-2</v>
      </c>
      <c r="H135" s="1"/>
      <c r="I135" s="1"/>
      <c r="J135" s="1"/>
      <c r="K135" s="1"/>
    </row>
    <row r="136" spans="3:11" x14ac:dyDescent="0.3">
      <c r="C136" s="1"/>
      <c r="D136" s="1">
        <v>0.97499999999999998</v>
      </c>
      <c r="E136" s="1">
        <v>0.70922037999999998</v>
      </c>
      <c r="F136" s="1">
        <v>7.7227470000000006E-2</v>
      </c>
      <c r="G136" s="1">
        <v>8.0841070000000001E-2</v>
      </c>
      <c r="H136" s="1"/>
      <c r="I136" s="1"/>
      <c r="J136" s="1"/>
      <c r="K136" s="1"/>
    </row>
    <row r="137" spans="3:11" x14ac:dyDescent="0.3">
      <c r="C137" s="1"/>
      <c r="D137" s="1">
        <v>0.98</v>
      </c>
      <c r="E137" s="1">
        <v>0.7088717699999999</v>
      </c>
      <c r="F137" s="1">
        <v>7.7153749999999993E-2</v>
      </c>
      <c r="G137" s="1">
        <v>8.0779029999999988E-2</v>
      </c>
      <c r="H137" s="1"/>
      <c r="I137" s="1"/>
      <c r="J137" s="1"/>
      <c r="K137" s="1"/>
    </row>
    <row r="138" spans="3:11" x14ac:dyDescent="0.3">
      <c r="C138" s="1"/>
      <c r="D138" s="1">
        <v>0.98499999999999999</v>
      </c>
      <c r="E138" s="1">
        <v>0.70847976000000001</v>
      </c>
      <c r="F138" s="1">
        <v>7.7125159999999998E-2</v>
      </c>
      <c r="G138" s="1">
        <v>8.0629129999999993E-2</v>
      </c>
      <c r="H138" s="1"/>
      <c r="I138" s="1"/>
      <c r="J138" s="1"/>
      <c r="K138" s="1"/>
    </row>
    <row r="139" spans="3:11" x14ac:dyDescent="0.3">
      <c r="C139" s="1"/>
      <c r="D139" s="1">
        <v>0.99</v>
      </c>
      <c r="E139" s="1">
        <v>0.70809657999999998</v>
      </c>
      <c r="F139" s="1">
        <v>7.7149300000000004E-2</v>
      </c>
      <c r="G139" s="1">
        <v>8.057012999999999E-2</v>
      </c>
      <c r="H139" s="1"/>
      <c r="I139" s="1"/>
      <c r="J139" s="1"/>
      <c r="K139" s="1"/>
    </row>
    <row r="140" spans="3:11" x14ac:dyDescent="0.3">
      <c r="C140" s="1"/>
      <c r="D140" s="1">
        <v>0.995</v>
      </c>
      <c r="E140" s="1">
        <v>0.7077008600000001</v>
      </c>
      <c r="F140" s="1">
        <v>7.7119199999999999E-2</v>
      </c>
      <c r="G140" s="1">
        <v>8.0461480000000002E-2</v>
      </c>
      <c r="H140" s="1"/>
      <c r="I140" s="1"/>
      <c r="J140" s="1"/>
      <c r="K140" s="1"/>
    </row>
    <row r="141" spans="3:11" x14ac:dyDescent="0.3">
      <c r="C141" s="1"/>
      <c r="D141" s="1">
        <v>1</v>
      </c>
      <c r="E141" s="1">
        <v>0.70731868000000009</v>
      </c>
      <c r="F141" s="1">
        <v>7.697611E-2</v>
      </c>
      <c r="G141" s="1">
        <v>8.0361879999999997E-2</v>
      </c>
      <c r="H141" s="1"/>
      <c r="I141" s="1"/>
      <c r="J141" s="1"/>
      <c r="K141" s="1"/>
    </row>
    <row r="142" spans="3:11" x14ac:dyDescent="0.3">
      <c r="C142" s="1"/>
      <c r="D142" s="1">
        <v>1.0049999999999999</v>
      </c>
      <c r="E142" s="1">
        <v>0.70708409000000005</v>
      </c>
      <c r="F142" s="1">
        <v>7.6886349999999992E-2</v>
      </c>
      <c r="G142" s="1">
        <v>8.0214309999999997E-2</v>
      </c>
      <c r="H142" s="1"/>
      <c r="I142" s="1"/>
      <c r="J142" s="1"/>
      <c r="K142" s="1"/>
    </row>
    <row r="143" spans="3:11" x14ac:dyDescent="0.3">
      <c r="C143" s="1"/>
      <c r="D143" s="1">
        <v>1.01</v>
      </c>
      <c r="E143" s="1">
        <v>0.70694950000000001</v>
      </c>
      <c r="F143" s="1">
        <v>7.6879939999999994E-2</v>
      </c>
      <c r="G143" s="1">
        <v>8.0137330000000007E-2</v>
      </c>
      <c r="H143" s="1"/>
      <c r="I143" s="1"/>
      <c r="J143" s="1"/>
      <c r="K143" s="1"/>
    </row>
    <row r="144" spans="3:11" x14ac:dyDescent="0.3">
      <c r="C144" s="1"/>
      <c r="D144" s="1">
        <v>1.0149999999999999</v>
      </c>
      <c r="E144" s="1">
        <v>0.70663759999999998</v>
      </c>
      <c r="F144" s="1">
        <v>7.672335999999999E-2</v>
      </c>
      <c r="G144" s="1">
        <v>8.0050389999999999E-2</v>
      </c>
      <c r="H144" s="1"/>
      <c r="I144" s="1"/>
      <c r="J144" s="1"/>
      <c r="K144" s="1"/>
    </row>
    <row r="145" spans="3:11" x14ac:dyDescent="0.3">
      <c r="C145" s="1"/>
      <c r="D145" s="1">
        <v>1.02</v>
      </c>
      <c r="E145" s="1">
        <v>0.70631242999999999</v>
      </c>
      <c r="F145" s="1">
        <v>7.6630580000000004E-2</v>
      </c>
      <c r="G145" s="1">
        <v>7.9916760000000003E-2</v>
      </c>
      <c r="H145" s="1"/>
      <c r="I145" s="1"/>
      <c r="J145" s="1"/>
      <c r="K145" s="1"/>
    </row>
    <row r="146" spans="3:11" x14ac:dyDescent="0.3">
      <c r="C146" s="1"/>
      <c r="D146" s="1">
        <v>1.0249999999999999</v>
      </c>
      <c r="E146" s="1">
        <v>0.70623203000000001</v>
      </c>
      <c r="F146" s="1">
        <v>7.6622960000000004E-2</v>
      </c>
      <c r="G146" s="1">
        <v>7.9776800000000009E-2</v>
      </c>
      <c r="H146" s="1"/>
      <c r="I146" s="1"/>
      <c r="J146" s="1"/>
      <c r="K146" s="1"/>
    </row>
    <row r="147" spans="3:11" x14ac:dyDescent="0.3">
      <c r="C147" s="1"/>
      <c r="D147" s="1">
        <v>1.03</v>
      </c>
      <c r="E147" s="1">
        <v>0.70616161000000011</v>
      </c>
      <c r="F147" s="1">
        <v>7.6536640000000003E-2</v>
      </c>
      <c r="G147" s="1">
        <v>7.9600649999999995E-2</v>
      </c>
      <c r="H147" s="1"/>
      <c r="I147" s="1"/>
      <c r="J147" s="1"/>
      <c r="K147" s="1"/>
    </row>
    <row r="148" spans="3:11" x14ac:dyDescent="0.3">
      <c r="C148" s="1"/>
      <c r="D148" s="1">
        <v>1.0349999999999999</v>
      </c>
      <c r="E148" s="1">
        <v>0.70605690999999993</v>
      </c>
      <c r="F148" s="1">
        <v>7.6420080000000001E-2</v>
      </c>
      <c r="G148" s="1">
        <v>7.951271E-2</v>
      </c>
      <c r="H148" s="1"/>
      <c r="I148" s="1"/>
      <c r="J148" s="1"/>
      <c r="K148" s="1"/>
    </row>
    <row r="149" spans="3:11" x14ac:dyDescent="0.3">
      <c r="C149" s="1"/>
      <c r="D149" s="1">
        <v>1.04</v>
      </c>
      <c r="E149" s="1">
        <v>0.70601650000000005</v>
      </c>
      <c r="F149" s="1">
        <v>7.6346339999999999E-2</v>
      </c>
      <c r="G149" s="1">
        <v>7.9441509999999993E-2</v>
      </c>
      <c r="H149" s="1"/>
      <c r="I149" s="1"/>
      <c r="J149" s="1"/>
      <c r="K149" s="1"/>
    </row>
    <row r="150" spans="3:11" x14ac:dyDescent="0.3">
      <c r="C150" s="1"/>
      <c r="D150" s="1">
        <v>1.0449999999999999</v>
      </c>
      <c r="E150" s="1">
        <v>0.70596591000000009</v>
      </c>
      <c r="F150" s="1">
        <v>7.6346639999999993E-2</v>
      </c>
      <c r="G150" s="1">
        <v>7.93605E-2</v>
      </c>
      <c r="H150" s="1"/>
      <c r="I150" s="1"/>
      <c r="J150" s="1"/>
      <c r="K150" s="1"/>
    </row>
    <row r="151" spans="3:11" x14ac:dyDescent="0.3">
      <c r="C151" s="1"/>
      <c r="D151" s="1">
        <v>1.05</v>
      </c>
      <c r="E151" s="1">
        <v>0.70586145</v>
      </c>
      <c r="F151" s="1">
        <v>7.6287489999999999E-2</v>
      </c>
      <c r="G151" s="1">
        <v>7.9313549999999997E-2</v>
      </c>
      <c r="H151" s="1"/>
      <c r="I151" s="1"/>
      <c r="J151" s="1"/>
      <c r="K151" s="1"/>
    </row>
    <row r="152" spans="3:11" x14ac:dyDescent="0.3">
      <c r="C152" s="1"/>
      <c r="D152" s="1">
        <v>1.0549999999999999</v>
      </c>
      <c r="E152" s="1">
        <v>0.70585198999999998</v>
      </c>
      <c r="F152" s="1">
        <v>7.6167590000000007E-2</v>
      </c>
      <c r="G152" s="1">
        <v>7.9207070000000004E-2</v>
      </c>
      <c r="H152" s="1"/>
      <c r="I152" s="1"/>
      <c r="J152" s="1"/>
      <c r="K152" s="1"/>
    </row>
    <row r="153" spans="3:11" x14ac:dyDescent="0.3">
      <c r="C153" s="1"/>
      <c r="D153" s="1">
        <v>1.06</v>
      </c>
      <c r="E153" s="1">
        <v>0.70581812999999993</v>
      </c>
      <c r="F153" s="1">
        <v>7.6076989999999997E-2</v>
      </c>
      <c r="G153" s="1">
        <v>7.9013100000000003E-2</v>
      </c>
      <c r="H153" s="1"/>
      <c r="I153" s="1"/>
      <c r="J153" s="1"/>
      <c r="K153" s="1"/>
    </row>
    <row r="154" spans="3:11" x14ac:dyDescent="0.3">
      <c r="C154" s="1"/>
      <c r="D154" s="1">
        <v>1.0649999999999999</v>
      </c>
      <c r="E154" s="1">
        <v>0.70579643000000003</v>
      </c>
      <c r="F154" s="1">
        <v>7.5998099999999999E-2</v>
      </c>
      <c r="G154" s="1">
        <v>7.8910250000000001E-2</v>
      </c>
      <c r="H154" s="1"/>
      <c r="I154" s="1"/>
      <c r="J154" s="1"/>
      <c r="K154" s="1"/>
    </row>
    <row r="155" spans="3:11" x14ac:dyDescent="0.3">
      <c r="C155" s="1"/>
      <c r="D155" s="1">
        <v>1.07</v>
      </c>
      <c r="E155" s="1">
        <v>0.70587639999999996</v>
      </c>
      <c r="F155" s="1">
        <v>7.5932109999999997E-2</v>
      </c>
      <c r="G155" s="1">
        <v>7.8826720000000003E-2</v>
      </c>
      <c r="H155" s="1"/>
      <c r="I155" s="1"/>
      <c r="J155" s="1"/>
      <c r="K155" s="1"/>
    </row>
    <row r="156" spans="3:11" x14ac:dyDescent="0.3">
      <c r="C156" s="1"/>
      <c r="D156" s="1">
        <v>1.075</v>
      </c>
      <c r="E156" s="1">
        <v>0.7059158499999999</v>
      </c>
      <c r="F156" s="1">
        <v>7.5892670000000009E-2</v>
      </c>
      <c r="G156" s="1">
        <v>7.8682119999999994E-2</v>
      </c>
      <c r="H156" s="1"/>
      <c r="I156" s="1"/>
      <c r="J156" s="1"/>
      <c r="K156" s="1"/>
    </row>
    <row r="157" spans="3:11" x14ac:dyDescent="0.3">
      <c r="C157" s="1"/>
      <c r="D157" s="1">
        <v>1.08</v>
      </c>
      <c r="E157" s="1">
        <v>0.70615323000000008</v>
      </c>
      <c r="F157" s="1">
        <v>7.5764090000000006E-2</v>
      </c>
      <c r="G157" s="1">
        <v>7.8580849999999994E-2</v>
      </c>
      <c r="H157" s="1"/>
      <c r="I157" s="1"/>
      <c r="J157" s="1"/>
      <c r="K157" s="1"/>
    </row>
    <row r="158" spans="3:11" x14ac:dyDescent="0.3">
      <c r="C158" s="1"/>
      <c r="D158" s="1">
        <v>1.085</v>
      </c>
      <c r="E158" s="1">
        <v>0.70628049999999998</v>
      </c>
      <c r="F158" s="1">
        <v>7.5698910000000008E-2</v>
      </c>
      <c r="G158" s="1">
        <v>7.8546669999999999E-2</v>
      </c>
      <c r="H158" s="1"/>
      <c r="I158" s="1"/>
      <c r="J158" s="1"/>
      <c r="K158" s="1"/>
    </row>
    <row r="159" spans="3:11" x14ac:dyDescent="0.3">
      <c r="C159" s="1"/>
      <c r="D159" s="1">
        <v>1.0900000000000001</v>
      </c>
      <c r="E159" s="1">
        <v>0.70633204999999999</v>
      </c>
      <c r="F159" s="1">
        <v>7.5739979999999998E-2</v>
      </c>
      <c r="G159" s="1">
        <v>7.8512760000000001E-2</v>
      </c>
      <c r="H159" s="1"/>
      <c r="I159" s="1"/>
      <c r="J159" s="1"/>
      <c r="K159" s="1"/>
    </row>
    <row r="160" spans="3:11" x14ac:dyDescent="0.3">
      <c r="C160" s="1"/>
      <c r="D160" s="1">
        <v>1.095</v>
      </c>
      <c r="E160" s="1">
        <v>0.70642928999999999</v>
      </c>
      <c r="F160" s="1">
        <v>7.5754070000000007E-2</v>
      </c>
      <c r="G160" s="1">
        <v>7.8392289999999989E-2</v>
      </c>
      <c r="H160" s="1"/>
      <c r="I160" s="1"/>
      <c r="J160" s="1"/>
      <c r="K160" s="1"/>
    </row>
    <row r="161" spans="3:11" x14ac:dyDescent="0.3">
      <c r="C161" s="1"/>
      <c r="D161" s="1">
        <v>1.1000000000000001</v>
      </c>
      <c r="E161" s="1">
        <v>0.70658462999999994</v>
      </c>
      <c r="F161" s="1">
        <v>7.5767410000000007E-2</v>
      </c>
      <c r="G161" s="1">
        <v>7.8328620000000002E-2</v>
      </c>
      <c r="H161" s="1"/>
      <c r="I161" s="1"/>
      <c r="J161" s="1"/>
      <c r="K161" s="1"/>
    </row>
    <row r="162" spans="3:11" x14ac:dyDescent="0.3">
      <c r="C162" s="1"/>
      <c r="D162" s="1">
        <v>1.105</v>
      </c>
      <c r="E162" s="1">
        <v>0.70683823000000001</v>
      </c>
      <c r="F162" s="1">
        <v>7.5681520000000002E-2</v>
      </c>
      <c r="G162" s="1">
        <v>7.8287700000000002E-2</v>
      </c>
      <c r="H162" s="1"/>
      <c r="I162" s="1"/>
      <c r="J162" s="1"/>
      <c r="K162" s="1"/>
    </row>
    <row r="163" spans="3:11" x14ac:dyDescent="0.3">
      <c r="C163" s="1"/>
      <c r="D163" s="1">
        <v>1.1100000000000001</v>
      </c>
      <c r="E163" s="1">
        <v>0.70702282999999999</v>
      </c>
      <c r="F163" s="1">
        <v>7.5584480000000009E-2</v>
      </c>
      <c r="G163" s="1">
        <v>7.8185400000000002E-2</v>
      </c>
      <c r="H163" s="1"/>
      <c r="I163" s="1"/>
      <c r="J163" s="1"/>
      <c r="K163" s="1"/>
    </row>
    <row r="164" spans="3:11" x14ac:dyDescent="0.3">
      <c r="C164" s="1"/>
      <c r="D164" s="1">
        <v>1.115</v>
      </c>
      <c r="E164" s="1">
        <v>0.70722381999999995</v>
      </c>
      <c r="F164" s="1">
        <v>7.5543840000000001E-2</v>
      </c>
      <c r="G164" s="1">
        <v>7.8083840000000002E-2</v>
      </c>
      <c r="H164" s="1"/>
      <c r="I164" s="1"/>
      <c r="J164" s="1"/>
      <c r="K164" s="1"/>
    </row>
    <row r="165" spans="3:11" x14ac:dyDescent="0.3">
      <c r="C165" s="1"/>
      <c r="D165" s="1">
        <v>1.1200000000000001</v>
      </c>
      <c r="E165" s="1">
        <v>0.70748056999999998</v>
      </c>
      <c r="F165" s="1">
        <v>7.5363200000000005E-2</v>
      </c>
      <c r="G165" s="1">
        <v>7.7947749999999996E-2</v>
      </c>
      <c r="H165" s="1"/>
      <c r="I165" s="1"/>
      <c r="J165" s="1"/>
      <c r="K165" s="1"/>
    </row>
    <row r="166" spans="3:11" x14ac:dyDescent="0.3">
      <c r="C166" s="1"/>
      <c r="D166" s="1">
        <v>1.125</v>
      </c>
      <c r="E166" s="1">
        <v>0.70776888000000004</v>
      </c>
      <c r="F166" s="1">
        <v>7.5210350000000009E-2</v>
      </c>
      <c r="G166" s="1">
        <v>7.7874509999999994E-2</v>
      </c>
      <c r="H166" s="1"/>
      <c r="I166" s="1"/>
      <c r="J166" s="1"/>
      <c r="K166" s="1"/>
    </row>
    <row r="167" spans="3:11" x14ac:dyDescent="0.3">
      <c r="C167" s="1"/>
      <c r="D167" s="1">
        <v>1.1299999999999999</v>
      </c>
      <c r="E167" s="1">
        <v>0.70812838</v>
      </c>
      <c r="F167" s="1">
        <v>7.5183799999999995E-2</v>
      </c>
      <c r="G167" s="1">
        <v>7.7734129999999999E-2</v>
      </c>
      <c r="H167" s="1"/>
      <c r="I167" s="1"/>
      <c r="J167" s="1"/>
      <c r="K167" s="1"/>
    </row>
    <row r="168" spans="3:11" x14ac:dyDescent="0.3">
      <c r="C168" s="1"/>
      <c r="D168" s="1">
        <v>1.135</v>
      </c>
      <c r="E168" s="1">
        <v>0.70855113999999997</v>
      </c>
      <c r="F168" s="1">
        <v>7.5115119999999994E-2</v>
      </c>
      <c r="G168" s="1">
        <v>7.7643489999999996E-2</v>
      </c>
      <c r="H168" s="1"/>
      <c r="I168" s="1"/>
      <c r="J168" s="1"/>
      <c r="K168" s="1"/>
    </row>
    <row r="169" spans="3:11" x14ac:dyDescent="0.3">
      <c r="C169" s="1"/>
      <c r="D169" s="1">
        <v>1.1399999999999999</v>
      </c>
      <c r="E169" s="1">
        <v>0.70901020000000003</v>
      </c>
      <c r="F169" s="1">
        <v>7.5132770000000001E-2</v>
      </c>
      <c r="G169" s="1">
        <v>7.7671279999999995E-2</v>
      </c>
      <c r="H169" s="1"/>
      <c r="I169" s="1"/>
      <c r="J169" s="1"/>
      <c r="K169" s="1"/>
    </row>
    <row r="170" spans="3:11" x14ac:dyDescent="0.3">
      <c r="C170" s="1"/>
      <c r="D170" s="1">
        <v>1.145</v>
      </c>
      <c r="E170" s="1">
        <v>0.70933954999999993</v>
      </c>
      <c r="F170" s="1">
        <v>7.5123579999999995E-2</v>
      </c>
      <c r="G170" s="1">
        <v>7.7558429999999998E-2</v>
      </c>
      <c r="H170" s="1"/>
      <c r="I170" s="1"/>
      <c r="J170" s="1"/>
      <c r="K170" s="1"/>
    </row>
    <row r="171" spans="3:11" x14ac:dyDescent="0.3">
      <c r="C171" s="1"/>
      <c r="D171" s="1">
        <v>1.1499999999999999</v>
      </c>
      <c r="E171" s="1">
        <v>0.70971942999999993</v>
      </c>
      <c r="F171" s="1">
        <v>7.5097690000000009E-2</v>
      </c>
      <c r="G171" s="1">
        <v>7.7360520000000002E-2</v>
      </c>
      <c r="H171" s="1"/>
      <c r="I171" s="1"/>
      <c r="J171" s="1"/>
      <c r="K171" s="1"/>
    </row>
    <row r="172" spans="3:11" x14ac:dyDescent="0.3">
      <c r="C172" s="1"/>
      <c r="D172" s="1">
        <v>1.155</v>
      </c>
      <c r="E172" s="1">
        <v>0.71005640000000003</v>
      </c>
      <c r="F172" s="1">
        <v>7.5120430000000002E-2</v>
      </c>
      <c r="G172" s="1">
        <v>7.7382359999999997E-2</v>
      </c>
      <c r="H172" s="1"/>
      <c r="I172" s="1"/>
      <c r="J172" s="1"/>
      <c r="K172" s="1"/>
    </row>
    <row r="173" spans="3:11" x14ac:dyDescent="0.3">
      <c r="C173" s="1"/>
      <c r="D173" s="1">
        <v>1.1599999999999999</v>
      </c>
      <c r="E173" s="1">
        <v>0.71045265000000002</v>
      </c>
      <c r="F173" s="1">
        <v>7.5102180000000004E-2</v>
      </c>
      <c r="G173" s="1">
        <v>7.7403849999999996E-2</v>
      </c>
      <c r="H173" s="1"/>
      <c r="I173" s="1"/>
      <c r="J173" s="1"/>
      <c r="K173" s="1"/>
    </row>
    <row r="174" spans="3:11" x14ac:dyDescent="0.3">
      <c r="C174" s="1"/>
      <c r="D174" s="1">
        <v>1.165</v>
      </c>
      <c r="E174" s="1">
        <v>0.71093519000000005</v>
      </c>
      <c r="F174" s="1">
        <v>7.5142470000000003E-2</v>
      </c>
      <c r="G174" s="1">
        <v>7.737165E-2</v>
      </c>
      <c r="H174" s="1"/>
      <c r="I174" s="1"/>
      <c r="J174" s="1"/>
      <c r="K174" s="1"/>
    </row>
    <row r="175" spans="3:11" x14ac:dyDescent="0.3">
      <c r="C175" s="1"/>
      <c r="D175" s="1">
        <v>1.17</v>
      </c>
      <c r="E175" s="1">
        <v>0.71134670999999994</v>
      </c>
      <c r="F175" s="1">
        <v>7.5116360000000007E-2</v>
      </c>
      <c r="G175" s="1">
        <v>7.7302640000000006E-2</v>
      </c>
      <c r="H175" s="1"/>
      <c r="I175" s="1"/>
      <c r="J175" s="1"/>
      <c r="K175" s="1"/>
    </row>
    <row r="176" spans="3:11" x14ac:dyDescent="0.3">
      <c r="C176" s="1"/>
      <c r="D176" s="1">
        <v>1.175</v>
      </c>
      <c r="E176" s="1">
        <v>0.71190054000000003</v>
      </c>
      <c r="F176" s="1">
        <v>7.5076539999999997E-2</v>
      </c>
      <c r="G176" s="1">
        <v>7.715967E-2</v>
      </c>
      <c r="H176" s="1"/>
      <c r="I176" s="1"/>
      <c r="J176" s="1"/>
      <c r="K176" s="1"/>
    </row>
    <row r="177" spans="3:11" x14ac:dyDescent="0.3">
      <c r="C177" s="1"/>
      <c r="D177" s="1">
        <v>1.18</v>
      </c>
      <c r="E177" s="1">
        <v>0.71247861000000001</v>
      </c>
      <c r="F177" s="1">
        <v>7.5028189999999995E-2</v>
      </c>
      <c r="G177" s="1">
        <v>7.7111910000000006E-2</v>
      </c>
      <c r="H177" s="1"/>
      <c r="I177" s="1"/>
      <c r="J177" s="1"/>
      <c r="K177" s="1"/>
    </row>
    <row r="178" spans="3:11" x14ac:dyDescent="0.3">
      <c r="C178" s="1"/>
      <c r="D178" s="1">
        <v>1.1850000000000001</v>
      </c>
      <c r="E178" s="1">
        <v>0.71293733999999997</v>
      </c>
      <c r="F178" s="1">
        <v>7.4982290000000007E-2</v>
      </c>
      <c r="G178" s="1">
        <v>7.7120640000000004E-2</v>
      </c>
      <c r="H178" s="1"/>
      <c r="I178" s="1"/>
      <c r="J178" s="1"/>
      <c r="K178" s="1"/>
    </row>
    <row r="179" spans="3:11" x14ac:dyDescent="0.3">
      <c r="C179" s="1"/>
      <c r="D179" s="1">
        <v>1.19</v>
      </c>
      <c r="E179" s="1">
        <v>0.71346705999999993</v>
      </c>
      <c r="F179" s="1">
        <v>7.4882470000000007E-2</v>
      </c>
      <c r="G179" s="1">
        <v>7.7022179999999996E-2</v>
      </c>
      <c r="H179" s="1"/>
      <c r="I179" s="1"/>
      <c r="J179" s="1"/>
      <c r="K179" s="1"/>
    </row>
    <row r="180" spans="3:11" x14ac:dyDescent="0.3">
      <c r="C180" s="1"/>
      <c r="D180" s="1">
        <v>1.1950000000000001</v>
      </c>
      <c r="E180" s="1">
        <v>0.71410711000000004</v>
      </c>
      <c r="F180" s="1">
        <v>7.486385000000001E-2</v>
      </c>
      <c r="G180" s="1">
        <v>7.6909470000000008E-2</v>
      </c>
      <c r="H180" s="1"/>
      <c r="I180" s="1"/>
      <c r="J180" s="1"/>
      <c r="K180" s="1"/>
    </row>
    <row r="181" spans="3:11" x14ac:dyDescent="0.3">
      <c r="C181" s="1"/>
      <c r="D181" s="1">
        <v>1.2</v>
      </c>
      <c r="E181" s="1">
        <v>0.71464813000000005</v>
      </c>
      <c r="F181" s="1">
        <v>7.4905090000000007E-2</v>
      </c>
      <c r="G181" s="1">
        <v>7.6923930000000001E-2</v>
      </c>
      <c r="H181" s="1"/>
      <c r="I181" s="1"/>
      <c r="J181" s="1"/>
      <c r="K181" s="1"/>
    </row>
    <row r="182" spans="3:11" x14ac:dyDescent="0.3">
      <c r="C182" s="1"/>
      <c r="D182" s="1">
        <v>1.2050000000000001</v>
      </c>
      <c r="E182" s="1">
        <v>0.71529008000000005</v>
      </c>
      <c r="F182" s="1">
        <v>7.4842709999999993E-2</v>
      </c>
      <c r="G182" s="1">
        <v>7.6870000000000008E-2</v>
      </c>
      <c r="H182" s="1"/>
      <c r="I182" s="1"/>
      <c r="J182" s="1"/>
      <c r="K182" s="1"/>
    </row>
    <row r="183" spans="3:11" x14ac:dyDescent="0.3">
      <c r="C183" s="1"/>
      <c r="D183" s="1">
        <v>1.21</v>
      </c>
      <c r="E183" s="1">
        <v>0.71598921999999998</v>
      </c>
      <c r="F183" s="1">
        <v>7.4799620000000011E-2</v>
      </c>
      <c r="G183" s="1">
        <v>7.689849E-2</v>
      </c>
      <c r="H183" s="1"/>
      <c r="I183" s="1"/>
      <c r="J183" s="1"/>
      <c r="K183" s="1"/>
    </row>
    <row r="184" spans="3:11" x14ac:dyDescent="0.3">
      <c r="C184" s="1"/>
      <c r="D184" s="1">
        <v>1.2150000000000001</v>
      </c>
      <c r="E184" s="1">
        <v>0.71671052999999996</v>
      </c>
      <c r="F184" s="1">
        <v>7.4737910000000005E-2</v>
      </c>
      <c r="G184" s="1">
        <v>7.6837509999999998E-2</v>
      </c>
      <c r="H184" s="1"/>
      <c r="I184" s="1"/>
      <c r="J184" s="1"/>
      <c r="K184" s="1"/>
    </row>
    <row r="185" spans="3:11" x14ac:dyDescent="0.3">
      <c r="C185" s="1"/>
      <c r="D185" s="1">
        <v>1.22</v>
      </c>
      <c r="E185" s="1">
        <v>0.71734876000000003</v>
      </c>
      <c r="F185" s="1">
        <v>7.4740440000000005E-2</v>
      </c>
      <c r="G185" s="1">
        <v>7.6731750000000001E-2</v>
      </c>
      <c r="H185" s="1"/>
      <c r="I185" s="1"/>
      <c r="J185" s="1"/>
      <c r="K185" s="1"/>
    </row>
    <row r="186" spans="3:11" x14ac:dyDescent="0.3">
      <c r="C186" s="1"/>
      <c r="D186" s="1">
        <v>1.2250000000000001</v>
      </c>
      <c r="E186" s="1">
        <v>0.71804919</v>
      </c>
      <c r="F186" s="1">
        <v>7.4781239999999999E-2</v>
      </c>
      <c r="G186" s="1">
        <v>7.6739630000000003E-2</v>
      </c>
      <c r="H186" s="1"/>
      <c r="I186" s="1"/>
      <c r="J186" s="1"/>
      <c r="K186" s="1"/>
    </row>
    <row r="187" spans="3:11" x14ac:dyDescent="0.3">
      <c r="C187" s="1"/>
      <c r="D187" s="1">
        <v>1.23</v>
      </c>
      <c r="E187" s="1">
        <v>0.71878688999999996</v>
      </c>
      <c r="F187" s="1">
        <v>7.4778300000000006E-2</v>
      </c>
      <c r="G187" s="1">
        <v>7.6774720000000005E-2</v>
      </c>
      <c r="H187" s="1"/>
      <c r="I187" s="1"/>
      <c r="J187" s="1"/>
      <c r="K187" s="1"/>
    </row>
    <row r="188" spans="3:11" x14ac:dyDescent="0.3">
      <c r="C188" s="1"/>
      <c r="D188" s="1">
        <v>1.2350000000000001</v>
      </c>
      <c r="E188" s="1">
        <v>0.71958325999999995</v>
      </c>
      <c r="F188" s="1">
        <v>7.4796950000000001E-2</v>
      </c>
      <c r="G188" s="1">
        <v>7.6723650000000004E-2</v>
      </c>
      <c r="H188" s="1"/>
      <c r="I188" s="1"/>
      <c r="J188" s="1"/>
      <c r="K188" s="1"/>
    </row>
    <row r="189" spans="3:11" x14ac:dyDescent="0.3">
      <c r="C189" s="1"/>
      <c r="D189" s="1">
        <v>1.24</v>
      </c>
      <c r="E189" s="1">
        <v>0.72040210000000005</v>
      </c>
      <c r="F189" s="1">
        <v>7.4879769999999998E-2</v>
      </c>
      <c r="G189" s="1">
        <v>7.6736940000000003E-2</v>
      </c>
      <c r="H189" s="1"/>
      <c r="I189" s="1"/>
      <c r="J189" s="1"/>
      <c r="K189" s="1"/>
    </row>
    <row r="190" spans="3:11" x14ac:dyDescent="0.3">
      <c r="C190" s="1"/>
      <c r="D190" s="1">
        <v>1.2450000000000001</v>
      </c>
      <c r="E190" s="1">
        <v>0.72125234000000005</v>
      </c>
      <c r="F190" s="1">
        <v>7.4918680000000001E-2</v>
      </c>
      <c r="G190" s="1">
        <v>7.67288E-2</v>
      </c>
      <c r="H190" s="1"/>
      <c r="I190" s="1"/>
      <c r="J190" s="1"/>
      <c r="K190" s="1"/>
    </row>
    <row r="191" spans="3:11" x14ac:dyDescent="0.3">
      <c r="C191" s="1"/>
      <c r="D191" s="1">
        <v>1.25</v>
      </c>
      <c r="E191" s="1">
        <v>0.72216374999999999</v>
      </c>
      <c r="F191" s="1">
        <v>7.4851139999999997E-2</v>
      </c>
      <c r="G191" s="1">
        <v>7.6666810000000002E-2</v>
      </c>
      <c r="H191" s="1"/>
      <c r="I191" s="1"/>
      <c r="J191" s="1"/>
      <c r="K191" s="1"/>
    </row>
    <row r="192" spans="3:11" x14ac:dyDescent="0.3">
      <c r="C192" s="1"/>
      <c r="D192" s="1">
        <v>1.2549999999999999</v>
      </c>
      <c r="E192" s="1">
        <v>0.72306687999999997</v>
      </c>
      <c r="F192" s="1">
        <v>7.4837639999999997E-2</v>
      </c>
      <c r="G192" s="1">
        <v>7.6654799999999995E-2</v>
      </c>
      <c r="H192" s="1"/>
      <c r="I192" s="1"/>
      <c r="J192" s="1"/>
      <c r="K192" s="1"/>
    </row>
    <row r="193" spans="3:11" x14ac:dyDescent="0.3">
      <c r="C193" s="1"/>
      <c r="D193" s="1">
        <v>1.26</v>
      </c>
      <c r="E193" s="1">
        <v>0.72402370999999999</v>
      </c>
      <c r="F193" s="1">
        <v>7.4848509999999993E-2</v>
      </c>
      <c r="G193" s="1">
        <v>7.6580549999999997E-2</v>
      </c>
      <c r="H193" s="1"/>
      <c r="I193" s="1"/>
      <c r="J193" s="1"/>
      <c r="K193" s="1"/>
    </row>
    <row r="194" spans="3:11" x14ac:dyDescent="0.3">
      <c r="C194" s="1"/>
      <c r="D194" s="1">
        <v>1.2649999999999999</v>
      </c>
      <c r="E194" s="1">
        <v>0.72504784</v>
      </c>
      <c r="F194" s="1">
        <v>7.4882439999999995E-2</v>
      </c>
      <c r="G194" s="1">
        <v>7.6544879999999996E-2</v>
      </c>
      <c r="H194" s="1"/>
      <c r="I194" s="1"/>
      <c r="J194" s="1"/>
      <c r="K194" s="1"/>
    </row>
    <row r="195" spans="3:11" x14ac:dyDescent="0.3">
      <c r="C195" s="1"/>
      <c r="D195" s="1">
        <v>1.27</v>
      </c>
      <c r="E195" s="1">
        <v>0.72598136999999996</v>
      </c>
      <c r="F195" s="1">
        <v>7.4951459999999998E-2</v>
      </c>
      <c r="G195" s="1">
        <v>7.6563220000000001E-2</v>
      </c>
      <c r="H195" s="1"/>
      <c r="I195" s="1"/>
      <c r="J195" s="1"/>
      <c r="K195" s="1"/>
    </row>
    <row r="196" spans="3:11" x14ac:dyDescent="0.3">
      <c r="C196" s="1"/>
      <c r="D196" s="1">
        <v>1.2749999999999999</v>
      </c>
      <c r="E196" s="1">
        <v>0.72686837999999998</v>
      </c>
      <c r="F196" s="1">
        <v>7.4933589999999994E-2</v>
      </c>
      <c r="G196" s="1">
        <v>7.6616030000000002E-2</v>
      </c>
      <c r="H196" s="1"/>
      <c r="I196" s="1"/>
      <c r="J196" s="1"/>
      <c r="K196" s="1"/>
    </row>
    <row r="197" spans="3:11" x14ac:dyDescent="0.3">
      <c r="C197" s="1"/>
      <c r="D197" s="1">
        <v>1.28</v>
      </c>
      <c r="E197" s="1">
        <v>0.72801713000000001</v>
      </c>
      <c r="F197" s="1">
        <v>7.4974769999999996E-2</v>
      </c>
      <c r="G197" s="1">
        <v>7.6686169999999998E-2</v>
      </c>
      <c r="H197" s="1"/>
      <c r="I197" s="1"/>
      <c r="J197" s="1"/>
      <c r="K197" s="1"/>
    </row>
    <row r="198" spans="3:11" x14ac:dyDescent="0.3">
      <c r="C198" s="1"/>
      <c r="D198" s="1">
        <v>1.2849999999999999</v>
      </c>
      <c r="E198" s="1">
        <v>0.72905514999999999</v>
      </c>
      <c r="F198" s="1">
        <v>7.507229E-2</v>
      </c>
      <c r="G198" s="1">
        <v>7.6645099999999994E-2</v>
      </c>
      <c r="H198" s="1"/>
      <c r="I198" s="1"/>
      <c r="J198" s="1"/>
      <c r="K198" s="1"/>
    </row>
    <row r="199" spans="3:11" x14ac:dyDescent="0.3">
      <c r="C199" s="1"/>
      <c r="D199" s="1">
        <v>1.29</v>
      </c>
      <c r="E199" s="1">
        <v>0.73003536000000002</v>
      </c>
      <c r="F199" s="1">
        <v>7.5128760000000003E-2</v>
      </c>
      <c r="G199" s="1">
        <v>7.6665319999999995E-2</v>
      </c>
      <c r="H199" s="1"/>
      <c r="I199" s="1"/>
      <c r="J199" s="1"/>
      <c r="K199" s="1"/>
    </row>
    <row r="200" spans="3:11" x14ac:dyDescent="0.3">
      <c r="C200" s="1"/>
      <c r="D200" s="1">
        <v>1.2949999999999999</v>
      </c>
      <c r="E200" s="1">
        <v>0.73120337000000002</v>
      </c>
      <c r="F200" s="1">
        <v>7.5171330000000008E-2</v>
      </c>
      <c r="G200" s="1">
        <v>7.6726370000000002E-2</v>
      </c>
      <c r="H200" s="1"/>
      <c r="I200" s="1"/>
      <c r="J200" s="1"/>
      <c r="K200" s="1"/>
    </row>
    <row r="201" spans="3:11" x14ac:dyDescent="0.3">
      <c r="C201" s="1"/>
      <c r="D201" s="1">
        <v>1.3</v>
      </c>
      <c r="E201" s="1">
        <v>0.7322898000000001</v>
      </c>
      <c r="F201" s="1">
        <v>7.5221530000000009E-2</v>
      </c>
      <c r="G201" s="1">
        <v>7.6715699999999998E-2</v>
      </c>
      <c r="H201" s="1"/>
      <c r="I201" s="1"/>
      <c r="J201" s="1"/>
      <c r="K201" s="1"/>
    </row>
    <row r="202" spans="3:11" x14ac:dyDescent="0.3">
      <c r="C202" s="1"/>
      <c r="D202" s="1">
        <v>1.3049999999999999</v>
      </c>
      <c r="E202" s="1">
        <v>0.73345384999999996</v>
      </c>
      <c r="F202" s="1">
        <v>7.5282760000000004E-2</v>
      </c>
      <c r="G202" s="1">
        <v>7.6768820000000002E-2</v>
      </c>
      <c r="H202" s="1"/>
      <c r="I202" s="1"/>
      <c r="J202" s="1"/>
      <c r="K202" s="1"/>
    </row>
    <row r="203" spans="3:11" x14ac:dyDescent="0.3">
      <c r="C203" s="1"/>
      <c r="D203" s="1">
        <v>1.31</v>
      </c>
      <c r="E203" s="1">
        <v>0.73465649</v>
      </c>
      <c r="F203" s="1">
        <v>7.5387499999999996E-2</v>
      </c>
      <c r="G203" s="1">
        <v>7.6807860000000006E-2</v>
      </c>
      <c r="H203" s="1"/>
      <c r="I203" s="1"/>
      <c r="J203" s="1"/>
      <c r="K203" s="1"/>
    </row>
    <row r="204" spans="3:11" x14ac:dyDescent="0.3">
      <c r="C204" s="1"/>
      <c r="D204" s="1">
        <v>1.3149999999999999</v>
      </c>
      <c r="E204" s="1">
        <v>0.73582139000000002</v>
      </c>
      <c r="F204" s="1">
        <v>7.5429999999999997E-2</v>
      </c>
      <c r="G204" s="1">
        <v>7.6740969999999992E-2</v>
      </c>
      <c r="H204" s="1"/>
      <c r="I204" s="1"/>
      <c r="J204" s="1"/>
      <c r="K204" s="1"/>
    </row>
    <row r="205" spans="3:11" x14ac:dyDescent="0.3">
      <c r="C205" s="1"/>
      <c r="D205" s="1">
        <v>1.32</v>
      </c>
      <c r="E205" s="1">
        <v>0.73704755000000011</v>
      </c>
      <c r="F205" s="1">
        <v>7.5454830000000001E-2</v>
      </c>
      <c r="G205" s="1">
        <v>7.6802270000000006E-2</v>
      </c>
      <c r="H205" s="1"/>
      <c r="I205" s="1"/>
      <c r="J205" s="1"/>
      <c r="K205" s="1"/>
    </row>
    <row r="206" spans="3:11" x14ac:dyDescent="0.3">
      <c r="C206" s="1"/>
      <c r="D206" s="1">
        <v>1.325</v>
      </c>
      <c r="E206" s="1">
        <v>0.73827102999999994</v>
      </c>
      <c r="F206" s="1">
        <v>7.546833E-2</v>
      </c>
      <c r="G206" s="1">
        <v>7.6948820000000001E-2</v>
      </c>
      <c r="H206" s="1"/>
      <c r="I206" s="1"/>
      <c r="J206" s="1"/>
      <c r="K206" s="1"/>
    </row>
    <row r="207" spans="3:11" x14ac:dyDescent="0.3">
      <c r="C207" s="1"/>
      <c r="D207" s="1">
        <v>1.33</v>
      </c>
      <c r="E207" s="1">
        <v>0.73959010000000003</v>
      </c>
      <c r="F207" s="1">
        <v>7.5557340000000001E-2</v>
      </c>
      <c r="G207" s="1">
        <v>7.6958189999999996E-2</v>
      </c>
      <c r="H207" s="1"/>
      <c r="I207" s="1"/>
      <c r="J207" s="1"/>
      <c r="K207" s="1"/>
    </row>
    <row r="208" spans="3:11" x14ac:dyDescent="0.3">
      <c r="C208" s="1"/>
      <c r="D208" s="1">
        <v>1.335</v>
      </c>
      <c r="E208" s="1">
        <v>0.74081005</v>
      </c>
      <c r="F208" s="1">
        <v>7.5555310000000001E-2</v>
      </c>
      <c r="G208" s="1">
        <v>7.6906309999999992E-2</v>
      </c>
      <c r="H208" s="1"/>
      <c r="I208" s="1"/>
      <c r="J208" s="1"/>
      <c r="K208" s="1"/>
    </row>
    <row r="209" spans="3:11" x14ac:dyDescent="0.3">
      <c r="C209" s="1"/>
      <c r="D209" s="1">
        <v>1.34</v>
      </c>
      <c r="E209" s="1">
        <v>0.74206688999999992</v>
      </c>
      <c r="F209" s="1">
        <v>7.5539870000000009E-2</v>
      </c>
      <c r="G209" s="1">
        <v>7.6963160000000003E-2</v>
      </c>
      <c r="H209" s="1"/>
      <c r="I209" s="1"/>
      <c r="J209" s="1"/>
      <c r="K209" s="1"/>
    </row>
    <row r="210" spans="3:11" x14ac:dyDescent="0.3">
      <c r="C210" s="1"/>
      <c r="D210" s="1">
        <v>1.345</v>
      </c>
      <c r="E210" s="1">
        <v>0.74336315999999991</v>
      </c>
      <c r="F210" s="1">
        <v>7.5572619999999993E-2</v>
      </c>
      <c r="G210" s="1">
        <v>7.6900659999999996E-2</v>
      </c>
      <c r="H210" s="1"/>
      <c r="I210" s="1"/>
      <c r="J210" s="1"/>
      <c r="K210" s="1"/>
    </row>
    <row r="211" spans="3:11" x14ac:dyDescent="0.3">
      <c r="C211" s="1"/>
      <c r="D211" s="1">
        <v>1.35</v>
      </c>
      <c r="E211" s="1">
        <v>0.74452284000000002</v>
      </c>
      <c r="F211" s="1">
        <v>7.5663080000000008E-2</v>
      </c>
      <c r="G211" s="1">
        <v>7.691481E-2</v>
      </c>
      <c r="H211" s="1"/>
      <c r="I211" s="1"/>
      <c r="J211" s="1"/>
      <c r="K211" s="1"/>
    </row>
    <row r="212" spans="3:11" x14ac:dyDescent="0.3">
      <c r="C212" s="1"/>
      <c r="D212" s="1">
        <v>1.355</v>
      </c>
      <c r="E212" s="1">
        <v>0.74587875999999997</v>
      </c>
      <c r="F212" s="1">
        <v>7.569766E-2</v>
      </c>
      <c r="G212" s="1">
        <v>7.7023930000000004E-2</v>
      </c>
      <c r="H212" s="1"/>
      <c r="I212" s="1"/>
      <c r="J212" s="1"/>
      <c r="K212" s="1"/>
    </row>
    <row r="213" spans="3:11" x14ac:dyDescent="0.3">
      <c r="C213" s="1"/>
      <c r="D213" s="1">
        <v>1.36</v>
      </c>
      <c r="E213" s="1">
        <v>0.74725730999999995</v>
      </c>
      <c r="F213" s="1">
        <v>7.5719250000000002E-2</v>
      </c>
      <c r="G213" s="1">
        <v>7.7050110000000005E-2</v>
      </c>
      <c r="H213" s="1"/>
      <c r="I213" s="1"/>
      <c r="J213" s="1"/>
      <c r="K213" s="1"/>
    </row>
    <row r="214" spans="3:11" x14ac:dyDescent="0.3">
      <c r="C214" s="1"/>
      <c r="D214" s="1">
        <v>1.365</v>
      </c>
      <c r="E214" s="1">
        <v>0.74872590000000006</v>
      </c>
      <c r="F214" s="1">
        <v>7.5767680000000004E-2</v>
      </c>
      <c r="G214" s="1">
        <v>7.7073699999999995E-2</v>
      </c>
      <c r="H214" s="1"/>
      <c r="I214" s="1"/>
      <c r="J214" s="1"/>
      <c r="K214" s="1"/>
    </row>
    <row r="215" spans="3:11" x14ac:dyDescent="0.3">
      <c r="C215" s="1"/>
      <c r="D215" s="1">
        <v>1.37</v>
      </c>
      <c r="E215" s="1">
        <v>0.75005722000000008</v>
      </c>
      <c r="F215" s="1">
        <v>7.586401999999999E-2</v>
      </c>
      <c r="G215" s="1">
        <v>7.7065770000000006E-2</v>
      </c>
      <c r="H215" s="1"/>
      <c r="I215" s="1"/>
      <c r="J215" s="1"/>
      <c r="K215" s="1"/>
    </row>
    <row r="216" spans="3:11" x14ac:dyDescent="0.3">
      <c r="C216" s="1"/>
      <c r="D216" s="1">
        <v>1.375</v>
      </c>
      <c r="E216" s="1">
        <v>0.75121705999999999</v>
      </c>
      <c r="F216" s="1">
        <v>7.6041049999999999E-2</v>
      </c>
      <c r="G216" s="1">
        <v>7.7203109999999991E-2</v>
      </c>
      <c r="H216" s="1"/>
      <c r="I216" s="1"/>
      <c r="J216" s="1"/>
      <c r="K216" s="1"/>
    </row>
    <row r="217" spans="3:11" x14ac:dyDescent="0.3">
      <c r="C217" s="1"/>
      <c r="D217" s="1">
        <v>1.38</v>
      </c>
      <c r="E217" s="1">
        <v>0.75245290999999992</v>
      </c>
      <c r="F217" s="1">
        <v>7.6110720000000007E-2</v>
      </c>
      <c r="G217" s="1">
        <v>7.7321550000000003E-2</v>
      </c>
      <c r="H217" s="1"/>
      <c r="I217" s="1"/>
      <c r="J217" s="1"/>
      <c r="K217" s="1"/>
    </row>
    <row r="218" spans="3:11" x14ac:dyDescent="0.3">
      <c r="C218" s="1"/>
      <c r="D218" s="1">
        <v>1.385</v>
      </c>
      <c r="E218" s="1">
        <v>0.75345969000000002</v>
      </c>
      <c r="F218" s="1">
        <v>7.6118469999999994E-2</v>
      </c>
      <c r="G218" s="1">
        <v>7.7294420000000003E-2</v>
      </c>
      <c r="H218" s="1"/>
      <c r="I218" s="1"/>
      <c r="J218" s="1"/>
      <c r="K218" s="1"/>
    </row>
    <row r="219" spans="3:11" x14ac:dyDescent="0.3">
      <c r="C219" s="1"/>
      <c r="D219" s="1">
        <v>1.39</v>
      </c>
      <c r="E219" s="1">
        <v>0.75422285</v>
      </c>
      <c r="F219" s="1">
        <v>7.6193230000000001E-2</v>
      </c>
      <c r="G219" s="1">
        <v>7.7222810000000003E-2</v>
      </c>
      <c r="H219" s="1"/>
      <c r="I219" s="1"/>
      <c r="J219" s="1"/>
      <c r="K219" s="1"/>
    </row>
    <row r="220" spans="3:11" x14ac:dyDescent="0.3">
      <c r="C220" s="1"/>
      <c r="D220" s="1">
        <v>1.395</v>
      </c>
      <c r="E220" s="1">
        <v>0.75494063</v>
      </c>
      <c r="F220" s="1">
        <v>7.6160320000000004E-2</v>
      </c>
      <c r="G220" s="1">
        <v>7.7242759999999994E-2</v>
      </c>
      <c r="H220" s="1"/>
      <c r="I220" s="1"/>
      <c r="J220" s="1"/>
      <c r="K220" s="1"/>
    </row>
    <row r="221" spans="3:11" x14ac:dyDescent="0.3">
      <c r="C221" s="1"/>
      <c r="D221" s="1">
        <v>1.4</v>
      </c>
      <c r="E221" s="1">
        <v>0.75580789999999998</v>
      </c>
      <c r="F221" s="1">
        <v>7.6090989999999997E-2</v>
      </c>
      <c r="G221" s="1">
        <v>7.7128420000000003E-2</v>
      </c>
      <c r="H221" s="1"/>
      <c r="I221" s="1"/>
      <c r="J221" s="1"/>
      <c r="K221" s="1"/>
    </row>
    <row r="222" spans="3:11" x14ac:dyDescent="0.3">
      <c r="C222" s="1"/>
      <c r="D222" s="1">
        <v>1.405</v>
      </c>
      <c r="E222" s="1">
        <v>0.75693521000000008</v>
      </c>
      <c r="F222" s="1">
        <v>7.6170780000000007E-2</v>
      </c>
      <c r="G222" s="1">
        <v>7.7228740000000004E-2</v>
      </c>
      <c r="H222" s="1"/>
      <c r="I222" s="1"/>
      <c r="J222" s="1"/>
      <c r="K222" s="1"/>
    </row>
    <row r="223" spans="3:11" x14ac:dyDescent="0.3">
      <c r="C223" s="1"/>
      <c r="D223" s="1">
        <v>1.41</v>
      </c>
      <c r="E223" s="1">
        <v>0.75823498999999994</v>
      </c>
      <c r="F223" s="1">
        <v>7.6282439999999993E-2</v>
      </c>
      <c r="G223" s="1">
        <v>7.7347700000000005E-2</v>
      </c>
      <c r="H223" s="1"/>
      <c r="I223" s="1"/>
      <c r="J223" s="1"/>
      <c r="K223" s="1"/>
    </row>
    <row r="224" spans="3:11" x14ac:dyDescent="0.3">
      <c r="C224" s="1"/>
      <c r="D224" s="1">
        <v>1.415</v>
      </c>
      <c r="E224" s="1">
        <v>0.7597472500000001</v>
      </c>
      <c r="F224" s="1">
        <v>7.6379520000000006E-2</v>
      </c>
      <c r="G224" s="1">
        <v>7.7340530000000005E-2</v>
      </c>
      <c r="H224" s="1"/>
      <c r="I224" s="1"/>
      <c r="J224" s="1"/>
      <c r="K224" s="1"/>
    </row>
    <row r="225" spans="3:11" x14ac:dyDescent="0.3">
      <c r="C225" s="1"/>
      <c r="D225" s="1">
        <v>1.42</v>
      </c>
      <c r="E225" s="1">
        <v>0.76136020999999998</v>
      </c>
      <c r="F225" s="1">
        <v>7.6445070000000004E-2</v>
      </c>
      <c r="G225" s="1">
        <v>7.7364119999999995E-2</v>
      </c>
      <c r="H225" s="1"/>
      <c r="I225" s="1"/>
      <c r="J225" s="1"/>
      <c r="K225" s="1"/>
    </row>
    <row r="226" spans="3:11" x14ac:dyDescent="0.3">
      <c r="C226" s="1"/>
      <c r="D226" s="1">
        <v>1.425</v>
      </c>
      <c r="E226" s="1">
        <v>0.76289032000000001</v>
      </c>
      <c r="F226" s="1">
        <v>7.6492790000000005E-2</v>
      </c>
      <c r="G226" s="1">
        <v>7.7477150000000009E-2</v>
      </c>
      <c r="H226" s="1"/>
      <c r="I226" s="1"/>
      <c r="J226" s="1"/>
      <c r="K226" s="1"/>
    </row>
    <row r="227" spans="3:11" x14ac:dyDescent="0.3">
      <c r="C227" s="1"/>
      <c r="D227" s="1">
        <v>1.43</v>
      </c>
      <c r="E227" s="1">
        <v>0.76448299000000008</v>
      </c>
      <c r="F227" s="1">
        <v>7.6574069999999994E-2</v>
      </c>
      <c r="G227" s="1">
        <v>7.7526819999999996E-2</v>
      </c>
      <c r="H227" s="1"/>
      <c r="I227" s="1"/>
      <c r="J227" s="1"/>
      <c r="K227" s="1"/>
    </row>
    <row r="228" spans="3:11" x14ac:dyDescent="0.3">
      <c r="C228" s="1"/>
      <c r="D228" s="1">
        <v>1.4350000000000001</v>
      </c>
      <c r="E228" s="1">
        <v>0.76634731999999994</v>
      </c>
      <c r="F228" s="1">
        <v>7.6664830000000003E-2</v>
      </c>
      <c r="G228" s="1">
        <v>7.7583239999999998E-2</v>
      </c>
      <c r="H228" s="1"/>
      <c r="I228" s="1"/>
      <c r="J228" s="1"/>
      <c r="K228" s="1"/>
    </row>
    <row r="229" spans="3:11" x14ac:dyDescent="0.3">
      <c r="C229" s="1"/>
      <c r="D229" s="1">
        <v>1.44</v>
      </c>
      <c r="E229" s="1">
        <v>0.7681403899999999</v>
      </c>
      <c r="F229" s="1">
        <v>7.6849360000000005E-2</v>
      </c>
      <c r="G229" s="1">
        <v>7.7691280000000001E-2</v>
      </c>
      <c r="H229" s="1"/>
      <c r="I229" s="1"/>
      <c r="J229" s="1"/>
      <c r="K229" s="1"/>
    </row>
    <row r="230" spans="3:11" x14ac:dyDescent="0.3">
      <c r="C230" s="1"/>
      <c r="D230" s="1">
        <v>1.4450000000000001</v>
      </c>
      <c r="E230" s="1">
        <v>0.76977784999999999</v>
      </c>
      <c r="F230" s="1">
        <v>7.6926899999999993E-2</v>
      </c>
      <c r="G230" s="1">
        <v>7.7878379999999997E-2</v>
      </c>
      <c r="H230" s="1"/>
      <c r="I230" s="1"/>
      <c r="J230" s="1"/>
      <c r="K230" s="1"/>
    </row>
    <row r="231" spans="3:11" x14ac:dyDescent="0.3">
      <c r="C231" s="1"/>
      <c r="D231" s="1">
        <v>1.45</v>
      </c>
      <c r="E231" s="1">
        <v>0.77148050999999995</v>
      </c>
      <c r="F231" s="1">
        <v>7.6991100000000007E-2</v>
      </c>
      <c r="G231" s="1">
        <v>7.788428E-2</v>
      </c>
      <c r="H231" s="1"/>
      <c r="I231" s="1"/>
      <c r="J231" s="1"/>
      <c r="K231" s="1"/>
    </row>
    <row r="232" spans="3:11" x14ac:dyDescent="0.3">
      <c r="C232" s="1"/>
      <c r="D232" s="1">
        <v>1.4550000000000001</v>
      </c>
      <c r="E232" s="1">
        <v>0.77319947</v>
      </c>
      <c r="F232" s="1">
        <v>7.714254999999999E-2</v>
      </c>
      <c r="G232" s="1">
        <v>7.7966709999999995E-2</v>
      </c>
      <c r="H232" s="1"/>
      <c r="I232" s="1"/>
      <c r="J232" s="1"/>
      <c r="K232" s="1"/>
    </row>
    <row r="233" spans="3:11" x14ac:dyDescent="0.3">
      <c r="C233" s="1"/>
      <c r="D233" s="1">
        <v>1.46</v>
      </c>
      <c r="E233" s="1">
        <v>0.77484156999999998</v>
      </c>
      <c r="F233" s="1">
        <v>7.729258E-2</v>
      </c>
      <c r="G233" s="1">
        <v>7.8057290000000001E-2</v>
      </c>
      <c r="H233" s="1"/>
      <c r="I233" s="1"/>
      <c r="J233" s="1"/>
      <c r="K233" s="1"/>
    </row>
    <row r="234" spans="3:11" x14ac:dyDescent="0.3">
      <c r="C234" s="1"/>
      <c r="D234" s="1">
        <v>1.4650000000000001</v>
      </c>
      <c r="E234" s="1">
        <v>0.77629778000000005</v>
      </c>
      <c r="F234" s="1">
        <v>7.742011E-2</v>
      </c>
      <c r="G234" s="1">
        <v>7.8145450000000005E-2</v>
      </c>
      <c r="H234" s="1"/>
      <c r="I234" s="1"/>
      <c r="J234" s="1"/>
      <c r="K234" s="1"/>
    </row>
    <row r="235" spans="3:11" x14ac:dyDescent="0.3">
      <c r="C235" s="1"/>
      <c r="D235" s="1">
        <v>1.47</v>
      </c>
      <c r="E235" s="1">
        <v>0.77776652000000002</v>
      </c>
      <c r="F235" s="1">
        <v>7.7490439999999994E-2</v>
      </c>
      <c r="G235" s="1">
        <v>7.8270699999999999E-2</v>
      </c>
      <c r="H235" s="1"/>
      <c r="I235" s="1"/>
      <c r="J235" s="1"/>
      <c r="K235" s="1"/>
    </row>
    <row r="236" spans="3:11" x14ac:dyDescent="0.3">
      <c r="C236" s="1"/>
      <c r="D236" s="1">
        <v>1.4750000000000001</v>
      </c>
      <c r="E236" s="1">
        <v>0.77939317000000008</v>
      </c>
      <c r="F236" s="1">
        <v>7.7594150000000001E-2</v>
      </c>
      <c r="G236" s="1">
        <v>7.8365959999999998E-2</v>
      </c>
      <c r="H236" s="1"/>
      <c r="I236" s="1"/>
      <c r="J236" s="1"/>
      <c r="K236" s="1"/>
    </row>
    <row r="237" spans="3:11" x14ac:dyDescent="0.3">
      <c r="C237" s="1"/>
      <c r="D237" s="1">
        <v>1.48</v>
      </c>
      <c r="E237" s="1">
        <v>0.78068982000000009</v>
      </c>
      <c r="F237" s="1">
        <v>7.771952E-2</v>
      </c>
      <c r="G237" s="1">
        <v>7.8424969999999997E-2</v>
      </c>
      <c r="H237" s="1"/>
      <c r="I237" s="1"/>
      <c r="J237" s="1"/>
      <c r="K237" s="1"/>
    </row>
    <row r="238" spans="3:11" x14ac:dyDescent="0.3">
      <c r="C238" s="1"/>
      <c r="D238" s="1">
        <v>1.4850000000000001</v>
      </c>
      <c r="E238" s="1">
        <v>0.78208543000000008</v>
      </c>
      <c r="F238" s="1">
        <v>7.7798539999999999E-2</v>
      </c>
      <c r="G238" s="1">
        <v>7.848012E-2</v>
      </c>
      <c r="H238" s="1"/>
      <c r="I238" s="1"/>
      <c r="J238" s="1"/>
      <c r="K238" s="1"/>
    </row>
    <row r="239" spans="3:11" x14ac:dyDescent="0.3">
      <c r="C239" s="1"/>
      <c r="D239" s="1">
        <v>1.49</v>
      </c>
      <c r="E239" s="1">
        <v>0.78352951000000004</v>
      </c>
      <c r="F239" s="1">
        <v>7.7929380000000006E-2</v>
      </c>
      <c r="G239" s="1">
        <v>7.8562939999999998E-2</v>
      </c>
      <c r="H239" s="1"/>
      <c r="I239" s="1"/>
      <c r="J239" s="1"/>
      <c r="K239" s="1"/>
    </row>
    <row r="240" spans="3:11" x14ac:dyDescent="0.3">
      <c r="C240" s="1"/>
      <c r="D240" s="1">
        <v>1.4950000000000001</v>
      </c>
      <c r="E240" s="1">
        <v>0.78487745000000009</v>
      </c>
      <c r="F240" s="1">
        <v>7.802808E-2</v>
      </c>
      <c r="G240" s="1">
        <v>7.8736719999999996E-2</v>
      </c>
      <c r="H240" s="1"/>
      <c r="I240" s="1"/>
      <c r="J240" s="1"/>
      <c r="K240" s="1"/>
    </row>
    <row r="241" spans="3:11" x14ac:dyDescent="0.3">
      <c r="C241" s="1"/>
      <c r="D241" s="1">
        <v>1.5</v>
      </c>
      <c r="E241" s="1">
        <v>0.78617133999999989</v>
      </c>
      <c r="F241" s="1">
        <v>7.8129039999999997E-2</v>
      </c>
      <c r="G241" s="1">
        <v>7.8734849999999995E-2</v>
      </c>
      <c r="H241" s="1"/>
      <c r="I241" s="1"/>
      <c r="J241" s="1"/>
      <c r="K241" s="1"/>
    </row>
    <row r="242" spans="3:11" x14ac:dyDescent="0.3">
      <c r="C242" s="1"/>
      <c r="D242" s="1">
        <v>1.5049999999999999</v>
      </c>
      <c r="E242" s="1">
        <v>0.78744366999999993</v>
      </c>
      <c r="F242" s="1">
        <v>7.8240249999999997E-2</v>
      </c>
      <c r="G242" s="1">
        <v>7.867969000000001E-2</v>
      </c>
      <c r="H242" s="1"/>
      <c r="I242" s="1"/>
      <c r="J242" s="1"/>
      <c r="K242" s="1"/>
    </row>
    <row r="243" spans="3:11" x14ac:dyDescent="0.3">
      <c r="C243" s="1"/>
      <c r="D243" s="1">
        <v>1.51</v>
      </c>
      <c r="E243" s="1">
        <v>0.78872584000000001</v>
      </c>
      <c r="F243" s="1">
        <v>7.8151239999999997E-2</v>
      </c>
      <c r="G243" s="1">
        <v>7.8788720000000007E-2</v>
      </c>
      <c r="H243" s="1"/>
      <c r="I243" s="1"/>
      <c r="J243" s="1"/>
      <c r="K243" s="1"/>
    </row>
    <row r="244" spans="3:11" x14ac:dyDescent="0.3">
      <c r="C244" s="1"/>
      <c r="D244" s="1">
        <v>1.5149999999999999</v>
      </c>
      <c r="E244" s="1">
        <v>0.79008742999999992</v>
      </c>
      <c r="F244" s="1">
        <v>7.8229179999999995E-2</v>
      </c>
      <c r="G244" s="1">
        <v>7.8887010000000007E-2</v>
      </c>
      <c r="H244" s="1"/>
      <c r="I244" s="1"/>
      <c r="J244" s="1"/>
      <c r="K244" s="1"/>
    </row>
    <row r="245" spans="3:11" x14ac:dyDescent="0.3">
      <c r="C245" s="1"/>
      <c r="D245" s="1">
        <v>1.52</v>
      </c>
      <c r="E245" s="1">
        <v>0.7913135200000001</v>
      </c>
      <c r="F245" s="1">
        <v>7.8332930000000009E-2</v>
      </c>
      <c r="G245" s="1">
        <v>7.8852270000000002E-2</v>
      </c>
      <c r="H245" s="1"/>
      <c r="I245" s="1"/>
      <c r="J245" s="1"/>
      <c r="K245" s="1"/>
    </row>
    <row r="246" spans="3:11" x14ac:dyDescent="0.3">
      <c r="C246" s="1"/>
      <c r="D246" s="1">
        <v>1.5249999999999999</v>
      </c>
      <c r="E246" s="1">
        <v>0.7924550600000001</v>
      </c>
      <c r="F246" s="1">
        <v>7.8344440000000001E-2</v>
      </c>
      <c r="G246" s="1">
        <v>7.8957029999999997E-2</v>
      </c>
      <c r="H246" s="1"/>
      <c r="I246" s="1"/>
      <c r="J246" s="1"/>
      <c r="K246" s="1"/>
    </row>
    <row r="247" spans="3:11" x14ac:dyDescent="0.3">
      <c r="C247" s="1"/>
      <c r="D247" s="1">
        <v>1.53</v>
      </c>
      <c r="E247" s="1">
        <v>0.79358552000000004</v>
      </c>
      <c r="F247" s="1">
        <v>7.8336759999999991E-2</v>
      </c>
      <c r="G247" s="1">
        <v>7.8941730000000002E-2</v>
      </c>
      <c r="H247" s="1"/>
      <c r="I247" s="1"/>
      <c r="J247" s="1"/>
      <c r="K247" s="1"/>
    </row>
    <row r="248" spans="3:11" x14ac:dyDescent="0.3">
      <c r="C248" s="1"/>
      <c r="D248" s="1">
        <v>1.5349999999999999</v>
      </c>
      <c r="E248" s="1">
        <v>0.79471016000000005</v>
      </c>
      <c r="F248" s="1">
        <v>7.8367409999999998E-2</v>
      </c>
      <c r="G248" s="1">
        <v>7.8985830000000007E-2</v>
      </c>
      <c r="H248" s="1"/>
      <c r="I248" s="1"/>
      <c r="J248" s="1"/>
      <c r="K248" s="1"/>
    </row>
    <row r="249" spans="3:11" x14ac:dyDescent="0.3">
      <c r="C249" s="1"/>
      <c r="D249" s="1">
        <v>1.54</v>
      </c>
      <c r="E249" s="1">
        <v>0.79588747999999998</v>
      </c>
      <c r="F249" s="1">
        <v>7.8434249999999997E-2</v>
      </c>
      <c r="G249" s="1">
        <v>7.9016160000000002E-2</v>
      </c>
      <c r="H249" s="1"/>
      <c r="I249" s="1"/>
      <c r="J249" s="1"/>
      <c r="K249" s="1"/>
    </row>
    <row r="250" spans="3:11" x14ac:dyDescent="0.3">
      <c r="C250" s="1"/>
      <c r="D250" s="1">
        <v>1.5449999999999999</v>
      </c>
      <c r="E250" s="1">
        <v>0.79698350000000007</v>
      </c>
      <c r="F250" s="1">
        <v>7.8549330000000001E-2</v>
      </c>
      <c r="G250" s="1">
        <v>7.9074600000000009E-2</v>
      </c>
      <c r="H250" s="1"/>
      <c r="I250" s="1"/>
      <c r="J250" s="1"/>
      <c r="K250" s="1"/>
    </row>
    <row r="251" spans="3:11" x14ac:dyDescent="0.3">
      <c r="C251" s="1"/>
      <c r="D251" s="1">
        <v>1.55</v>
      </c>
      <c r="E251" s="1">
        <v>0.79799982999999997</v>
      </c>
      <c r="F251" s="1">
        <v>7.8538029999999995E-2</v>
      </c>
      <c r="G251" s="1">
        <v>7.9061389999999995E-2</v>
      </c>
      <c r="H251" s="1"/>
      <c r="I251" s="1"/>
      <c r="J251" s="1"/>
      <c r="K251" s="1"/>
    </row>
    <row r="252" spans="3:11" x14ac:dyDescent="0.3">
      <c r="C252" s="1"/>
      <c r="D252" s="1">
        <v>1.5549999999999999</v>
      </c>
      <c r="E252" s="1">
        <v>0.79906129000000004</v>
      </c>
      <c r="F252" s="1">
        <v>7.847606E-2</v>
      </c>
      <c r="G252" s="1">
        <v>7.9114069999999995E-2</v>
      </c>
      <c r="H252" s="1"/>
      <c r="I252" s="1"/>
      <c r="J252" s="1"/>
      <c r="K252" s="1"/>
    </row>
    <row r="253" spans="3:11" x14ac:dyDescent="0.3">
      <c r="C253" s="1"/>
      <c r="D253" s="1">
        <v>1.56</v>
      </c>
      <c r="E253" s="1">
        <v>0.80005539999999997</v>
      </c>
      <c r="F253" s="1">
        <v>7.8632279999999999E-2</v>
      </c>
      <c r="G253" s="1">
        <v>7.908374E-2</v>
      </c>
      <c r="H253" s="1"/>
      <c r="I253" s="1"/>
      <c r="J253" s="1"/>
      <c r="K253" s="1"/>
    </row>
    <row r="254" spans="3:11" x14ac:dyDescent="0.3">
      <c r="C254" s="1"/>
      <c r="D254" s="1">
        <v>1.5649999999999999</v>
      </c>
      <c r="E254" s="1">
        <v>0.80082428999999999</v>
      </c>
      <c r="F254" s="1">
        <v>7.8788689999999995E-2</v>
      </c>
      <c r="G254" s="1">
        <v>7.9268080000000005E-2</v>
      </c>
      <c r="H254" s="1"/>
      <c r="I254" s="1"/>
      <c r="J254" s="1"/>
      <c r="K254" s="1"/>
    </row>
    <row r="255" spans="3:11" x14ac:dyDescent="0.3">
      <c r="C255" s="1"/>
      <c r="D255" s="1">
        <v>1.57</v>
      </c>
      <c r="E255" s="1">
        <v>0.80163123000000003</v>
      </c>
      <c r="F255" s="1">
        <v>7.8820479999999998E-2</v>
      </c>
      <c r="G255" s="1">
        <v>7.9330730000000002E-2</v>
      </c>
      <c r="H255" s="1"/>
      <c r="I255" s="1"/>
      <c r="J255" s="1"/>
      <c r="K255" s="1"/>
    </row>
    <row r="256" spans="3:11" x14ac:dyDescent="0.3">
      <c r="C256" s="1"/>
      <c r="D256" s="1">
        <v>1.575</v>
      </c>
      <c r="E256" s="1">
        <v>0.80272504999999994</v>
      </c>
      <c r="F256" s="1">
        <v>7.8900919999999999E-2</v>
      </c>
      <c r="G256" s="1">
        <v>7.9322740000000003E-2</v>
      </c>
      <c r="H256" s="1"/>
      <c r="I256" s="1"/>
      <c r="J256" s="1"/>
      <c r="K256" s="1"/>
    </row>
    <row r="257" spans="3:11" x14ac:dyDescent="0.3">
      <c r="C257" s="1"/>
      <c r="D257" s="1">
        <v>1.58</v>
      </c>
      <c r="E257" s="1">
        <v>0.80353801000000002</v>
      </c>
      <c r="F257" s="1">
        <v>7.8938679999999997E-2</v>
      </c>
      <c r="G257" s="1">
        <v>7.9372100000000001E-2</v>
      </c>
      <c r="H257" s="1"/>
      <c r="I257" s="1"/>
      <c r="J257" s="1"/>
      <c r="K257" s="1"/>
    </row>
    <row r="258" spans="3:11" x14ac:dyDescent="0.3">
      <c r="C258" s="1"/>
      <c r="D258" s="1">
        <v>1.585</v>
      </c>
      <c r="E258" s="1">
        <v>0.80420957999999998</v>
      </c>
      <c r="F258" s="1">
        <v>7.8958739999999999E-2</v>
      </c>
      <c r="G258" s="1">
        <v>7.944619E-2</v>
      </c>
      <c r="H258" s="1"/>
      <c r="I258" s="1"/>
      <c r="J258" s="1"/>
      <c r="K258" s="1"/>
    </row>
    <row r="259" spans="3:11" x14ac:dyDescent="0.3">
      <c r="C259" s="1"/>
      <c r="D259" s="1">
        <v>1.59</v>
      </c>
      <c r="E259" s="1">
        <v>0.80479076999999999</v>
      </c>
      <c r="F259" s="1">
        <v>7.9043840000000004E-2</v>
      </c>
      <c r="G259" s="1">
        <v>7.9402239999999999E-2</v>
      </c>
      <c r="H259" s="1"/>
      <c r="I259" s="1"/>
      <c r="J259" s="1"/>
      <c r="K259" s="1"/>
    </row>
    <row r="260" spans="3:11" x14ac:dyDescent="0.3">
      <c r="C260" s="1"/>
      <c r="D260" s="1">
        <v>1.595</v>
      </c>
      <c r="E260" s="1">
        <v>0.80547830000000009</v>
      </c>
      <c r="F260" s="1">
        <v>7.9061789999999993E-2</v>
      </c>
      <c r="G260" s="1">
        <v>7.9479949999999994E-2</v>
      </c>
      <c r="H260" s="1"/>
      <c r="I260" s="1"/>
      <c r="J260" s="1"/>
      <c r="K260" s="1"/>
    </row>
    <row r="261" spans="3:11" x14ac:dyDescent="0.3">
      <c r="C261" s="1"/>
      <c r="D261" s="1">
        <v>1.6</v>
      </c>
      <c r="E261" s="1">
        <v>0.80613701000000004</v>
      </c>
      <c r="F261" s="1">
        <v>7.9076099999999996E-2</v>
      </c>
      <c r="G261" s="1">
        <v>7.9500059999999997E-2</v>
      </c>
      <c r="H261" s="1"/>
      <c r="I261" s="1"/>
      <c r="J261" s="1"/>
      <c r="K261" s="1"/>
    </row>
    <row r="262" spans="3:11" x14ac:dyDescent="0.3">
      <c r="C262" s="1"/>
      <c r="D262" s="1">
        <v>1.605</v>
      </c>
      <c r="E262" s="1">
        <v>0.80670458</v>
      </c>
      <c r="F262" s="1">
        <v>7.9105449999999994E-2</v>
      </c>
      <c r="G262" s="1">
        <v>7.9466759999999997E-2</v>
      </c>
      <c r="H262" s="1"/>
      <c r="I262" s="1"/>
      <c r="J262" s="1"/>
      <c r="K262" s="1"/>
    </row>
    <row r="263" spans="3:11" x14ac:dyDescent="0.3">
      <c r="C263" s="1"/>
      <c r="D263" s="1">
        <v>1.61</v>
      </c>
      <c r="E263" s="1">
        <v>0.80734393999999998</v>
      </c>
      <c r="F263" s="1">
        <v>7.9154639999999998E-2</v>
      </c>
      <c r="G263" s="1">
        <v>7.947166E-2</v>
      </c>
      <c r="H263" s="1"/>
      <c r="I263" s="1"/>
      <c r="J263" s="1"/>
      <c r="K263" s="1"/>
    </row>
    <row r="264" spans="3:11" x14ac:dyDescent="0.3">
      <c r="C264" s="1"/>
      <c r="D264" s="1">
        <v>1.615</v>
      </c>
      <c r="E264" s="1">
        <v>0.80777072999999999</v>
      </c>
      <c r="F264" s="1">
        <v>7.9087270000000001E-2</v>
      </c>
      <c r="G264" s="1">
        <v>7.9565209999999997E-2</v>
      </c>
      <c r="H264" s="1"/>
      <c r="I264" s="1"/>
      <c r="J264" s="1"/>
      <c r="K264" s="1"/>
    </row>
    <row r="265" spans="3:11" x14ac:dyDescent="0.3">
      <c r="C265" s="1"/>
      <c r="D265" s="1">
        <v>1.62</v>
      </c>
      <c r="E265" s="1">
        <v>0.80831872000000005</v>
      </c>
      <c r="F265" s="1">
        <v>7.9138260000000002E-2</v>
      </c>
      <c r="G265" s="1">
        <v>7.9529509999999998E-2</v>
      </c>
      <c r="H265" s="1"/>
      <c r="I265" s="1"/>
      <c r="J265" s="1"/>
      <c r="K265" s="1"/>
    </row>
    <row r="266" spans="3:11" x14ac:dyDescent="0.3">
      <c r="C266" s="1"/>
      <c r="D266" s="1">
        <v>1.625</v>
      </c>
      <c r="E266" s="1">
        <v>0.80893069999999989</v>
      </c>
      <c r="F266" s="1">
        <v>7.9164239999999997E-2</v>
      </c>
      <c r="G266" s="1">
        <v>7.9454289999999997E-2</v>
      </c>
      <c r="H266" s="1"/>
      <c r="I266" s="1"/>
      <c r="J266" s="1"/>
      <c r="K266" s="1"/>
    </row>
    <row r="267" spans="3:11" x14ac:dyDescent="0.3">
      <c r="C267" s="1"/>
      <c r="D267" s="1">
        <v>1.63</v>
      </c>
      <c r="E267" s="1">
        <v>0.80958518000000002</v>
      </c>
      <c r="F267" s="1">
        <v>7.9073299999999999E-2</v>
      </c>
      <c r="G267" s="1">
        <v>7.9491480000000003E-2</v>
      </c>
      <c r="H267" s="1"/>
      <c r="I267" s="1"/>
      <c r="J267" s="1"/>
      <c r="K267" s="1"/>
    </row>
    <row r="268" spans="3:11" x14ac:dyDescent="0.3">
      <c r="C268" s="1"/>
      <c r="D268" s="1">
        <v>1.635</v>
      </c>
      <c r="E268" s="1">
        <v>0.81016893999999995</v>
      </c>
      <c r="F268" s="1">
        <v>7.9086519999999993E-2</v>
      </c>
      <c r="G268" s="1">
        <v>7.9362069999999993E-2</v>
      </c>
      <c r="H268" s="1"/>
      <c r="I268" s="1"/>
      <c r="J268" s="1"/>
      <c r="K268" s="1"/>
    </row>
    <row r="269" spans="3:11" x14ac:dyDescent="0.3">
      <c r="C269" s="1"/>
      <c r="D269" s="1">
        <v>1.64</v>
      </c>
      <c r="E269" s="1">
        <v>0.81048034999999996</v>
      </c>
      <c r="F269" s="1">
        <v>7.9107730000000001E-2</v>
      </c>
      <c r="G269" s="1">
        <v>7.9354330000000001E-2</v>
      </c>
      <c r="H269" s="1"/>
      <c r="I269" s="1"/>
      <c r="J269" s="1"/>
      <c r="K269" s="1"/>
    </row>
    <row r="270" spans="3:11" x14ac:dyDescent="0.3">
      <c r="C270" s="1"/>
      <c r="D270" s="1">
        <v>1.645</v>
      </c>
      <c r="E270" s="1">
        <v>0.81073455999999988</v>
      </c>
      <c r="F270" s="1">
        <v>7.9081640000000009E-2</v>
      </c>
      <c r="G270" s="1">
        <v>7.9394619999999999E-2</v>
      </c>
      <c r="H270" s="1"/>
      <c r="I270" s="1"/>
      <c r="J270" s="1"/>
      <c r="K270" s="1"/>
    </row>
    <row r="271" spans="3:11" x14ac:dyDescent="0.3">
      <c r="C271" s="1"/>
      <c r="D271" s="1">
        <v>1.65</v>
      </c>
      <c r="E271" s="1">
        <v>0.81110506999999998</v>
      </c>
      <c r="F271" s="1">
        <v>7.9034950000000007E-2</v>
      </c>
      <c r="G271" s="1">
        <v>7.9386419999999999E-2</v>
      </c>
      <c r="H271" s="1"/>
      <c r="I271" s="1"/>
      <c r="J271" s="1"/>
      <c r="K271" s="1"/>
    </row>
    <row r="272" spans="3:11" x14ac:dyDescent="0.3">
      <c r="C272" s="1"/>
      <c r="D272" s="1">
        <v>1.655</v>
      </c>
      <c r="E272" s="1">
        <v>0.81136463000000003</v>
      </c>
      <c r="F272" s="1">
        <v>7.8984520000000003E-2</v>
      </c>
      <c r="G272" s="1">
        <v>7.932633E-2</v>
      </c>
      <c r="H272" s="1"/>
      <c r="I272" s="1"/>
      <c r="J272" s="1"/>
      <c r="K272" s="1"/>
    </row>
    <row r="273" spans="3:11" x14ac:dyDescent="0.3">
      <c r="C273" s="1"/>
      <c r="D273" s="1">
        <v>1.66</v>
      </c>
      <c r="E273" s="1">
        <v>0.81164544999999999</v>
      </c>
      <c r="F273" s="1">
        <v>7.8883670000000003E-2</v>
      </c>
      <c r="G273" s="1">
        <v>7.9355320000000007E-2</v>
      </c>
      <c r="H273" s="1"/>
      <c r="I273" s="1"/>
      <c r="J273" s="1"/>
      <c r="K273" s="1"/>
    </row>
    <row r="274" spans="3:11" x14ac:dyDescent="0.3">
      <c r="C274" s="1"/>
      <c r="D274" s="1">
        <v>1.665</v>
      </c>
      <c r="E274" s="1">
        <v>0.8118869700000001</v>
      </c>
      <c r="F274" s="1">
        <v>7.8889669999999995E-2</v>
      </c>
      <c r="G274" s="1">
        <v>7.9206020000000002E-2</v>
      </c>
      <c r="H274" s="1"/>
      <c r="I274" s="1"/>
      <c r="J274" s="1"/>
      <c r="K274" s="1"/>
    </row>
    <row r="275" spans="3:11" x14ac:dyDescent="0.3">
      <c r="C275" s="1"/>
      <c r="D275" s="1">
        <v>1.67</v>
      </c>
      <c r="E275" s="1">
        <v>0.81207119000000005</v>
      </c>
      <c r="F275" s="1">
        <v>7.8955349999999994E-2</v>
      </c>
      <c r="G275" s="1">
        <v>7.9171560000000002E-2</v>
      </c>
      <c r="H275" s="1"/>
      <c r="I275" s="1"/>
      <c r="J275" s="1"/>
      <c r="K275" s="1"/>
    </row>
    <row r="276" spans="3:11" x14ac:dyDescent="0.3">
      <c r="C276" s="1"/>
      <c r="D276" s="1">
        <v>1.675</v>
      </c>
      <c r="E276" s="1">
        <v>0.81229399000000002</v>
      </c>
      <c r="F276" s="1">
        <v>7.8845780000000004E-2</v>
      </c>
      <c r="G276" s="1">
        <v>7.9196260000000004E-2</v>
      </c>
      <c r="H276" s="1"/>
      <c r="I276" s="1"/>
      <c r="J276" s="1"/>
      <c r="K276" s="1"/>
    </row>
    <row r="277" spans="3:11" x14ac:dyDescent="0.3">
      <c r="C277" s="1"/>
      <c r="D277" s="1">
        <v>1.68</v>
      </c>
      <c r="E277" s="1">
        <v>0.81239452999999995</v>
      </c>
      <c r="F277" s="1">
        <v>7.8808370000000003E-2</v>
      </c>
      <c r="G277" s="1">
        <v>7.9136220000000007E-2</v>
      </c>
      <c r="H277" s="1"/>
      <c r="I277" s="1"/>
      <c r="J277" s="1"/>
      <c r="K277" s="1"/>
    </row>
    <row r="278" spans="3:11" x14ac:dyDescent="0.3">
      <c r="C278" s="1"/>
      <c r="D278" s="1">
        <v>1.6850000000000001</v>
      </c>
      <c r="E278" s="1">
        <v>0.81254711000000002</v>
      </c>
      <c r="F278" s="1">
        <v>7.8873990000000005E-2</v>
      </c>
      <c r="G278" s="1">
        <v>7.9091769999999992E-2</v>
      </c>
      <c r="H278" s="1"/>
      <c r="I278" s="1"/>
      <c r="J278" s="1"/>
      <c r="K278" s="1"/>
    </row>
    <row r="279" spans="3:11" x14ac:dyDescent="0.3">
      <c r="C279" s="1"/>
      <c r="D279" s="1">
        <v>1.69</v>
      </c>
      <c r="E279" s="1">
        <v>0.81269413000000001</v>
      </c>
      <c r="F279" s="1">
        <v>7.8840090000000002E-2</v>
      </c>
      <c r="G279" s="1">
        <v>7.9025740000000011E-2</v>
      </c>
      <c r="H279" s="1"/>
      <c r="I279" s="1"/>
      <c r="J279" s="1"/>
      <c r="K279" s="1"/>
    </row>
    <row r="280" spans="3:11" x14ac:dyDescent="0.3">
      <c r="C280" s="1"/>
      <c r="D280" s="1">
        <v>1.6950000000000001</v>
      </c>
      <c r="E280" s="1">
        <v>0.8126209900000001</v>
      </c>
      <c r="F280" s="1">
        <v>7.8728900000000004E-2</v>
      </c>
      <c r="G280" s="1">
        <v>7.8962909999999997E-2</v>
      </c>
      <c r="H280" s="1"/>
      <c r="I280" s="1"/>
      <c r="J280" s="1"/>
      <c r="K280" s="1"/>
    </row>
    <row r="281" spans="3:11" x14ac:dyDescent="0.3">
      <c r="C281" s="1"/>
      <c r="D281" s="1">
        <v>1.7</v>
      </c>
      <c r="E281" s="1">
        <v>0.81276964000000007</v>
      </c>
      <c r="F281" s="1">
        <v>7.8814250000000002E-2</v>
      </c>
      <c r="G281" s="1">
        <v>7.8965430000000003E-2</v>
      </c>
      <c r="H281" s="1"/>
      <c r="I281" s="1"/>
      <c r="J281" s="1"/>
      <c r="K281" s="1"/>
    </row>
    <row r="282" spans="3:11" x14ac:dyDescent="0.3">
      <c r="C282" s="1"/>
      <c r="D282" s="1">
        <v>1.7050000000000001</v>
      </c>
      <c r="E282" s="1">
        <v>0.81272054999999999</v>
      </c>
      <c r="F282" s="1">
        <v>7.8722840000000002E-2</v>
      </c>
      <c r="G282" s="1">
        <v>7.8930249999999993E-2</v>
      </c>
      <c r="H282" s="1"/>
      <c r="I282" s="1"/>
      <c r="J282" s="1"/>
      <c r="K282" s="1"/>
    </row>
    <row r="283" spans="3:11" x14ac:dyDescent="0.3">
      <c r="C283" s="1"/>
      <c r="D283" s="1">
        <v>1.71</v>
      </c>
      <c r="E283" s="1">
        <v>0.81261559000000005</v>
      </c>
      <c r="F283" s="1">
        <v>7.8639769999999998E-2</v>
      </c>
      <c r="G283" s="1">
        <v>7.891368E-2</v>
      </c>
      <c r="H283" s="1"/>
      <c r="I283" s="1"/>
      <c r="J283" s="1"/>
      <c r="K283" s="1"/>
    </row>
    <row r="284" spans="3:11" x14ac:dyDescent="0.3">
      <c r="C284" s="1"/>
      <c r="D284" s="1">
        <v>1.7150000000000001</v>
      </c>
      <c r="E284" s="1">
        <v>0.8126829499999999</v>
      </c>
      <c r="F284" s="1">
        <v>7.8673809999999997E-2</v>
      </c>
      <c r="G284" s="1">
        <v>7.8888990000000006E-2</v>
      </c>
      <c r="H284" s="1"/>
      <c r="I284" s="1"/>
      <c r="J284" s="1"/>
      <c r="K284" s="1"/>
    </row>
    <row r="285" spans="3:11" x14ac:dyDescent="0.3">
      <c r="C285" s="1"/>
      <c r="D285" s="1">
        <v>1.72</v>
      </c>
      <c r="E285" s="1">
        <v>0.81272745000000002</v>
      </c>
      <c r="F285" s="1">
        <v>7.8678830000000005E-2</v>
      </c>
      <c r="G285" s="1">
        <v>7.8743869999999994E-2</v>
      </c>
      <c r="H285" s="1"/>
      <c r="I285" s="1"/>
      <c r="J285" s="1"/>
      <c r="K285" s="1"/>
    </row>
    <row r="286" spans="3:11" x14ac:dyDescent="0.3">
      <c r="C286" s="1"/>
      <c r="D286" s="1">
        <v>1.7250000000000001</v>
      </c>
      <c r="E286" s="1">
        <v>0.81257569000000007</v>
      </c>
      <c r="F286" s="1">
        <v>7.865258E-2</v>
      </c>
      <c r="G286" s="1">
        <v>7.8780599999999992E-2</v>
      </c>
      <c r="H286" s="1"/>
      <c r="I286" s="1"/>
      <c r="J286" s="1"/>
      <c r="K286" s="1"/>
    </row>
    <row r="287" spans="3:11" x14ac:dyDescent="0.3">
      <c r="C287" s="1"/>
      <c r="D287" s="1">
        <v>1.73</v>
      </c>
      <c r="E287" s="1">
        <v>0.81252407000000004</v>
      </c>
      <c r="F287" s="1">
        <v>7.8522229999999998E-2</v>
      </c>
      <c r="G287" s="1">
        <v>7.8812190000000004E-2</v>
      </c>
      <c r="H287" s="1"/>
      <c r="I287" s="1"/>
      <c r="J287" s="1"/>
      <c r="K287" s="1"/>
    </row>
    <row r="288" spans="3:11" x14ac:dyDescent="0.3">
      <c r="C288" s="1"/>
      <c r="D288" s="1">
        <v>1.7350000000000001</v>
      </c>
      <c r="E288" s="1">
        <v>0.81241574999999999</v>
      </c>
      <c r="F288" s="1">
        <v>7.8576779999999999E-2</v>
      </c>
      <c r="G288" s="1">
        <v>7.8750970000000003E-2</v>
      </c>
      <c r="H288" s="1"/>
      <c r="I288" s="1"/>
      <c r="J288" s="1"/>
      <c r="K288" s="1"/>
    </row>
    <row r="289" spans="3:11" x14ac:dyDescent="0.3">
      <c r="C289" s="1"/>
      <c r="D289" s="1">
        <v>1.74</v>
      </c>
      <c r="E289" s="1">
        <v>0.81230329000000001</v>
      </c>
      <c r="F289" s="1">
        <v>7.8611120000000007E-2</v>
      </c>
      <c r="G289" s="1">
        <v>7.874797E-2</v>
      </c>
      <c r="H289" s="1"/>
      <c r="I289" s="1"/>
      <c r="J289" s="1"/>
      <c r="K289" s="1"/>
    </row>
    <row r="290" spans="3:11" x14ac:dyDescent="0.3">
      <c r="C290" s="1"/>
      <c r="D290" s="1">
        <v>1.7450000000000001</v>
      </c>
      <c r="E290" s="1">
        <v>0.81212293999999996</v>
      </c>
      <c r="F290" s="1">
        <v>7.8478809999999996E-2</v>
      </c>
      <c r="G290" s="1">
        <v>7.8636419999999999E-2</v>
      </c>
      <c r="H290" s="1"/>
      <c r="I290" s="1"/>
      <c r="J290" s="1"/>
      <c r="K290" s="1"/>
    </row>
    <row r="291" spans="3:11" x14ac:dyDescent="0.3">
      <c r="C291" s="1"/>
      <c r="D291" s="1">
        <v>1.75</v>
      </c>
      <c r="E291" s="1">
        <v>0.81182309000000008</v>
      </c>
      <c r="F291" s="1">
        <v>7.8359079999999998E-2</v>
      </c>
      <c r="G291" s="1">
        <v>7.8520640000000003E-2</v>
      </c>
      <c r="H291" s="1"/>
      <c r="I291" s="1"/>
      <c r="J291" s="1"/>
      <c r="K291" s="1"/>
    </row>
    <row r="292" spans="3:11" x14ac:dyDescent="0.3">
      <c r="C292" s="1"/>
      <c r="D292" s="1">
        <v>1.7549999999999999</v>
      </c>
      <c r="E292" s="1">
        <v>0.81176760000000003</v>
      </c>
      <c r="F292" s="1">
        <v>7.8275959999999992E-2</v>
      </c>
      <c r="G292" s="1">
        <v>7.8552280000000002E-2</v>
      </c>
      <c r="H292" s="1"/>
      <c r="I292" s="1"/>
      <c r="J292" s="1"/>
      <c r="K292" s="1"/>
    </row>
    <row r="293" spans="3:11" x14ac:dyDescent="0.3">
      <c r="C293" s="1"/>
      <c r="D293" s="1">
        <v>1.76</v>
      </c>
      <c r="E293" s="1">
        <v>0.81158984000000001</v>
      </c>
      <c r="F293" s="1">
        <v>7.8292870000000001E-2</v>
      </c>
      <c r="G293" s="1">
        <v>7.8416150000000004E-2</v>
      </c>
      <c r="H293" s="1"/>
      <c r="I293" s="1"/>
      <c r="J293" s="1"/>
      <c r="K293" s="1"/>
    </row>
    <row r="294" spans="3:11" x14ac:dyDescent="0.3">
      <c r="C294" s="1"/>
      <c r="D294" s="1">
        <v>1.7649999999999999</v>
      </c>
      <c r="E294" s="1">
        <v>0.81144794000000009</v>
      </c>
      <c r="F294" s="1">
        <v>7.8189560000000005E-2</v>
      </c>
      <c r="G294" s="1">
        <v>7.8402109999999997E-2</v>
      </c>
      <c r="H294" s="1"/>
      <c r="I294" s="1"/>
      <c r="J294" s="1"/>
      <c r="K294" s="1"/>
    </row>
    <row r="295" spans="3:11" x14ac:dyDescent="0.3">
      <c r="C295" s="1"/>
      <c r="D295" s="1">
        <v>1.77</v>
      </c>
      <c r="E295" s="1">
        <v>0.81141934999999998</v>
      </c>
      <c r="F295" s="1">
        <v>7.8028669999999994E-2</v>
      </c>
      <c r="G295" s="1">
        <v>7.8270199999999998E-2</v>
      </c>
      <c r="H295" s="1"/>
      <c r="I295" s="1"/>
      <c r="J295" s="1"/>
      <c r="K295" s="1"/>
    </row>
    <row r="296" spans="3:11" x14ac:dyDescent="0.3">
      <c r="C296" s="1"/>
      <c r="D296" s="1">
        <v>1.7749999999999999</v>
      </c>
      <c r="E296" s="1">
        <v>0.81125398999999998</v>
      </c>
      <c r="F296" s="1">
        <v>7.7962580000000004E-2</v>
      </c>
      <c r="G296" s="1">
        <v>7.8229069999999998E-2</v>
      </c>
      <c r="H296" s="1"/>
      <c r="I296" s="1"/>
      <c r="J296" s="1"/>
      <c r="K296" s="1"/>
    </row>
    <row r="297" spans="3:11" x14ac:dyDescent="0.3">
      <c r="C297" s="1"/>
      <c r="D297" s="1">
        <v>1.78</v>
      </c>
      <c r="E297" s="1">
        <v>0.81105755999999996</v>
      </c>
      <c r="F297" s="1">
        <v>7.7842149999999999E-2</v>
      </c>
      <c r="G297" s="1">
        <v>7.8097070000000005E-2</v>
      </c>
      <c r="H297" s="1"/>
      <c r="I297" s="1"/>
      <c r="J297" s="1"/>
      <c r="K297" s="1"/>
    </row>
    <row r="298" spans="3:11" x14ac:dyDescent="0.3">
      <c r="C298" s="1"/>
      <c r="D298" s="1">
        <v>1.7849999999999999</v>
      </c>
      <c r="E298" s="1">
        <v>0.81079669999999993</v>
      </c>
      <c r="F298" s="1">
        <v>7.7788460000000004E-2</v>
      </c>
      <c r="G298" s="1">
        <v>7.8005030000000003E-2</v>
      </c>
      <c r="H298" s="1"/>
      <c r="I298" s="1"/>
      <c r="J298" s="1"/>
      <c r="K298" s="1"/>
    </row>
    <row r="299" spans="3:11" x14ac:dyDescent="0.3">
      <c r="C299" s="1"/>
      <c r="D299" s="1">
        <v>1.79</v>
      </c>
      <c r="E299" s="1">
        <v>0.81068355999999997</v>
      </c>
      <c r="F299" s="1">
        <v>7.7687229999999996E-2</v>
      </c>
      <c r="G299" s="1">
        <v>7.7937489999999998E-2</v>
      </c>
      <c r="H299" s="1"/>
      <c r="I299" s="1"/>
      <c r="J299" s="1"/>
      <c r="K299" s="1"/>
    </row>
    <row r="300" spans="3:11" x14ac:dyDescent="0.3">
      <c r="C300" s="1"/>
      <c r="D300" s="1">
        <v>1.7949999999999999</v>
      </c>
      <c r="E300" s="1">
        <v>0.81053002000000007</v>
      </c>
      <c r="F300" s="1">
        <v>7.7673069999999997E-2</v>
      </c>
      <c r="G300" s="1">
        <v>7.7886110000000008E-2</v>
      </c>
      <c r="H300" s="1"/>
      <c r="I300" s="1"/>
      <c r="J300" s="1"/>
      <c r="K300" s="1"/>
    </row>
    <row r="301" spans="3:11" x14ac:dyDescent="0.3">
      <c r="C301" s="1"/>
      <c r="D301" s="1">
        <v>1.8</v>
      </c>
      <c r="E301" s="1">
        <v>0.81029302000000003</v>
      </c>
      <c r="F301" s="1">
        <v>7.7636250000000004E-2</v>
      </c>
      <c r="G301" s="1">
        <v>7.7840770000000004E-2</v>
      </c>
      <c r="H301" s="1"/>
      <c r="I301" s="1"/>
      <c r="J301" s="1"/>
      <c r="K301" s="1"/>
    </row>
    <row r="302" spans="3:11" x14ac:dyDescent="0.3">
      <c r="C302" s="1"/>
      <c r="D302" s="1">
        <v>1.8049999999999999</v>
      </c>
      <c r="E302" s="1">
        <v>0.81020425000000007</v>
      </c>
      <c r="F302" s="1">
        <v>7.7501249999999994E-2</v>
      </c>
      <c r="G302" s="1">
        <v>7.7876799999999996E-2</v>
      </c>
      <c r="H302" s="1"/>
      <c r="I302" s="1"/>
      <c r="J302" s="1"/>
      <c r="K302" s="1"/>
    </row>
    <row r="303" spans="3:11" x14ac:dyDescent="0.3">
      <c r="C303" s="1"/>
      <c r="D303" s="1">
        <v>1.81</v>
      </c>
      <c r="E303" s="1">
        <v>0.80997005</v>
      </c>
      <c r="F303" s="1">
        <v>7.7438560000000004E-2</v>
      </c>
      <c r="G303" s="1">
        <v>7.7794820000000001E-2</v>
      </c>
      <c r="H303" s="1"/>
      <c r="I303" s="1"/>
      <c r="J303" s="1"/>
      <c r="K303" s="1"/>
    </row>
    <row r="304" spans="3:11" x14ac:dyDescent="0.3">
      <c r="C304" s="1"/>
      <c r="D304" s="1">
        <v>1.8149999999999999</v>
      </c>
      <c r="E304" s="1">
        <v>0.8097258100000001</v>
      </c>
      <c r="F304" s="1">
        <v>7.7399560000000006E-2</v>
      </c>
      <c r="G304" s="1">
        <v>7.7669299999999997E-2</v>
      </c>
      <c r="H304" s="1"/>
      <c r="I304" s="1"/>
      <c r="J304" s="1"/>
      <c r="K304" s="1"/>
    </row>
    <row r="305" spans="3:11" x14ac:dyDescent="0.3">
      <c r="C305" s="1"/>
      <c r="D305" s="1">
        <v>1.82</v>
      </c>
      <c r="E305" s="1">
        <v>0.80951629999999997</v>
      </c>
      <c r="F305" s="1">
        <v>7.7285000000000006E-2</v>
      </c>
      <c r="G305" s="1">
        <v>7.7520110000000003E-2</v>
      </c>
      <c r="H305" s="1"/>
      <c r="I305" s="1"/>
      <c r="J305" s="1"/>
      <c r="K305" s="1"/>
    </row>
    <row r="306" spans="3:11" x14ac:dyDescent="0.3">
      <c r="C306" s="1"/>
      <c r="D306" s="1">
        <v>1.825</v>
      </c>
      <c r="E306" s="1">
        <v>0.80938850000000007</v>
      </c>
      <c r="F306" s="1">
        <v>7.7260559999999992E-2</v>
      </c>
      <c r="G306" s="1">
        <v>7.7528189999999997E-2</v>
      </c>
      <c r="H306" s="1"/>
      <c r="I306" s="1"/>
      <c r="J306" s="1"/>
      <c r="K306" s="1"/>
    </row>
    <row r="307" spans="3:11" x14ac:dyDescent="0.3">
      <c r="C307" s="1"/>
      <c r="D307" s="1">
        <v>1.83</v>
      </c>
      <c r="E307" s="1">
        <v>0.80920608000000005</v>
      </c>
      <c r="F307" s="1">
        <v>7.7265879999999995E-2</v>
      </c>
      <c r="G307" s="1">
        <v>7.747480000000001E-2</v>
      </c>
      <c r="H307" s="1"/>
      <c r="I307" s="1"/>
      <c r="J307" s="1"/>
      <c r="K307" s="1"/>
    </row>
    <row r="308" spans="3:11" x14ac:dyDescent="0.3">
      <c r="C308" s="1"/>
      <c r="D308" s="1">
        <v>1.835</v>
      </c>
      <c r="E308" s="1">
        <v>0.80915358999999998</v>
      </c>
      <c r="F308" s="1">
        <v>7.7144810000000008E-2</v>
      </c>
      <c r="G308" s="1">
        <v>7.7369930000000003E-2</v>
      </c>
      <c r="H308" s="1"/>
      <c r="I308" s="1"/>
      <c r="J308" s="1"/>
      <c r="K308" s="1"/>
    </row>
    <row r="309" spans="3:11" x14ac:dyDescent="0.3">
      <c r="C309" s="1"/>
      <c r="D309" s="1">
        <v>1.84</v>
      </c>
      <c r="E309" s="1">
        <v>0.80887142999999995</v>
      </c>
      <c r="F309" s="1">
        <v>7.7093889999999998E-2</v>
      </c>
      <c r="G309" s="1">
        <v>7.7251989999999993E-2</v>
      </c>
      <c r="H309" s="1"/>
      <c r="I309" s="1"/>
      <c r="J309" s="1"/>
      <c r="K309" s="1"/>
    </row>
    <row r="310" spans="3:11" x14ac:dyDescent="0.3">
      <c r="C310" s="1"/>
      <c r="D310" s="1">
        <v>1.845</v>
      </c>
      <c r="E310" s="1">
        <v>0.8086169700000001</v>
      </c>
      <c r="F310" s="1">
        <v>7.7014379999999993E-2</v>
      </c>
      <c r="G310" s="1">
        <v>7.7211929999999998E-2</v>
      </c>
      <c r="H310" s="1"/>
      <c r="I310" s="1"/>
      <c r="J310" s="1"/>
      <c r="K310" s="1"/>
    </row>
    <row r="311" spans="3:11" x14ac:dyDescent="0.3">
      <c r="C311" s="1"/>
      <c r="D311" s="1">
        <v>1.85</v>
      </c>
      <c r="E311" s="1">
        <v>0.80844251</v>
      </c>
      <c r="F311" s="1">
        <v>7.6908229999999994E-2</v>
      </c>
      <c r="G311" s="1">
        <v>7.7169009999999996E-2</v>
      </c>
      <c r="H311" s="1"/>
      <c r="I311" s="1"/>
      <c r="J311" s="1"/>
      <c r="K311" s="1"/>
    </row>
    <row r="312" spans="3:11" x14ac:dyDescent="0.3">
      <c r="C312" s="1"/>
      <c r="D312" s="1">
        <v>1.855</v>
      </c>
      <c r="E312" s="1">
        <v>0.80843217000000001</v>
      </c>
      <c r="F312" s="1">
        <v>7.66926E-2</v>
      </c>
      <c r="G312" s="1">
        <v>7.6915129999999998E-2</v>
      </c>
      <c r="H312" s="1"/>
      <c r="I312" s="1"/>
      <c r="J312" s="1"/>
      <c r="K312" s="1"/>
    </row>
    <row r="313" spans="3:11" x14ac:dyDescent="0.3">
      <c r="C313" s="1"/>
      <c r="D313" s="1">
        <v>1.86</v>
      </c>
      <c r="E313" s="1">
        <v>0.80840158000000006</v>
      </c>
      <c r="F313" s="1">
        <v>7.6794710000000002E-2</v>
      </c>
      <c r="G313" s="1">
        <v>7.6924159999999991E-2</v>
      </c>
      <c r="H313" s="1"/>
      <c r="I313" s="1"/>
      <c r="J313" s="1"/>
      <c r="K313" s="1"/>
    </row>
    <row r="314" spans="3:11" x14ac:dyDescent="0.3">
      <c r="C314" s="1"/>
      <c r="D314" s="1">
        <v>1.865</v>
      </c>
      <c r="E314" s="1">
        <v>0.80814925999999998</v>
      </c>
      <c r="F314" s="1">
        <v>7.6815870000000008E-2</v>
      </c>
      <c r="G314" s="1">
        <v>7.7047790000000005E-2</v>
      </c>
      <c r="H314" s="1"/>
      <c r="I314" s="1"/>
      <c r="J314" s="1"/>
      <c r="K314" s="1"/>
    </row>
    <row r="315" spans="3:11" x14ac:dyDescent="0.3">
      <c r="C315" s="1"/>
      <c r="D315" s="1">
        <v>1.87</v>
      </c>
      <c r="E315" s="1">
        <v>0.80804055000000008</v>
      </c>
      <c r="F315" s="1">
        <v>7.6880629999999991E-2</v>
      </c>
      <c r="G315" s="1">
        <v>7.6986100000000002E-2</v>
      </c>
      <c r="H315" s="1"/>
      <c r="I315" s="1"/>
      <c r="J315" s="1"/>
      <c r="K315" s="1"/>
    </row>
    <row r="316" spans="3:11" x14ac:dyDescent="0.3">
      <c r="C316" s="1"/>
      <c r="D316" s="1">
        <v>1.875</v>
      </c>
      <c r="E316" s="1">
        <v>0.80798762999999996</v>
      </c>
      <c r="F316" s="1">
        <v>7.6747259999999998E-2</v>
      </c>
      <c r="G316" s="1">
        <v>7.6821269999999997E-2</v>
      </c>
      <c r="H316" s="1"/>
      <c r="I316" s="1"/>
      <c r="J316" s="1"/>
      <c r="K316" s="1"/>
    </row>
    <row r="317" spans="3:11" x14ac:dyDescent="0.3">
      <c r="C317" s="1"/>
      <c r="D317" s="1">
        <v>1.88</v>
      </c>
      <c r="E317" s="1">
        <v>0.8080384599999999</v>
      </c>
      <c r="F317" s="1">
        <v>7.6639730000000003E-2</v>
      </c>
      <c r="G317" s="1">
        <v>7.6882119999999998E-2</v>
      </c>
      <c r="H317" s="1"/>
      <c r="I317" s="1"/>
      <c r="J317" s="1"/>
      <c r="K317" s="1"/>
    </row>
    <row r="318" spans="3:11" x14ac:dyDescent="0.3">
      <c r="C318" s="1"/>
      <c r="D318" s="1">
        <v>1.885</v>
      </c>
      <c r="E318" s="1">
        <v>0.80824718000000007</v>
      </c>
      <c r="F318" s="1">
        <v>7.6630729999999994E-2</v>
      </c>
      <c r="G318" s="1">
        <v>7.6762289999999997E-2</v>
      </c>
      <c r="H318" s="1"/>
      <c r="I318" s="1"/>
      <c r="J318" s="1"/>
      <c r="K318" s="1"/>
    </row>
    <row r="319" spans="3:11" x14ac:dyDescent="0.3">
      <c r="C319" s="1"/>
      <c r="D319" s="1">
        <v>1.89</v>
      </c>
      <c r="E319" s="1">
        <v>0.80820530000000002</v>
      </c>
      <c r="F319" s="1">
        <v>7.6600929999999998E-2</v>
      </c>
      <c r="G319" s="1">
        <v>7.6733099999999999E-2</v>
      </c>
      <c r="H319" s="1"/>
      <c r="I319" s="1"/>
      <c r="J319" s="1"/>
      <c r="K319" s="1"/>
    </row>
    <row r="320" spans="3:11" x14ac:dyDescent="0.3">
      <c r="C320" s="1"/>
      <c r="D320" s="1">
        <v>1.895</v>
      </c>
      <c r="E320" s="1">
        <v>0.80811694000000001</v>
      </c>
      <c r="F320" s="1">
        <v>7.6388949999999997E-2</v>
      </c>
      <c r="G320" s="1">
        <v>7.6583869999999998E-2</v>
      </c>
      <c r="H320" s="1"/>
      <c r="I320" s="1"/>
      <c r="J320" s="1"/>
      <c r="K320" s="1"/>
    </row>
    <row r="321" spans="3:11" x14ac:dyDescent="0.3">
      <c r="C321" s="1"/>
      <c r="D321" s="1">
        <v>1.9</v>
      </c>
      <c r="E321" s="1">
        <v>0.80820537000000003</v>
      </c>
      <c r="F321" s="1">
        <v>7.6099750000000008E-2</v>
      </c>
      <c r="G321" s="1">
        <v>7.6356359999999998E-2</v>
      </c>
      <c r="H321" s="1"/>
      <c r="I321" s="1"/>
      <c r="J321" s="1"/>
      <c r="K321" s="1"/>
    </row>
    <row r="322" spans="3:11" x14ac:dyDescent="0.3">
      <c r="C322" s="1"/>
      <c r="D322" s="1">
        <v>1.905</v>
      </c>
      <c r="E322" s="1">
        <v>0.80805556999999995</v>
      </c>
      <c r="F322" s="1">
        <v>7.5920130000000002E-2</v>
      </c>
      <c r="G322" s="1">
        <v>7.6106019999999996E-2</v>
      </c>
      <c r="H322" s="1"/>
      <c r="I322" s="1"/>
      <c r="J322" s="1"/>
      <c r="K322" s="1"/>
    </row>
    <row r="323" spans="3:11" x14ac:dyDescent="0.3">
      <c r="C323" s="1"/>
      <c r="D323" s="1">
        <v>1.91</v>
      </c>
      <c r="E323" s="1">
        <v>0.80803322</v>
      </c>
      <c r="F323" s="1">
        <v>7.5735010000000005E-2</v>
      </c>
      <c r="G323" s="1">
        <v>7.5926629999999995E-2</v>
      </c>
      <c r="H323" s="1"/>
      <c r="I323" s="1"/>
      <c r="J323" s="1"/>
      <c r="K323" s="1"/>
    </row>
    <row r="324" spans="3:11" x14ac:dyDescent="0.3">
      <c r="C324" s="1"/>
      <c r="D324" s="1">
        <v>1.915</v>
      </c>
      <c r="E324" s="1">
        <v>0.80791606999999999</v>
      </c>
      <c r="F324" s="1">
        <v>7.572530999999999E-2</v>
      </c>
      <c r="G324" s="1">
        <v>7.5860629999999998E-2</v>
      </c>
      <c r="H324" s="1"/>
      <c r="I324" s="1"/>
      <c r="J324" s="1"/>
      <c r="K324" s="1"/>
    </row>
    <row r="325" spans="3:11" x14ac:dyDescent="0.3">
      <c r="C325" s="1"/>
      <c r="D325" s="1">
        <v>1.92</v>
      </c>
      <c r="E325" s="1">
        <v>0.80800614999999998</v>
      </c>
      <c r="F325" s="1">
        <v>7.5713329999999995E-2</v>
      </c>
      <c r="G325" s="1">
        <v>7.5759049999999994E-2</v>
      </c>
      <c r="H325" s="1"/>
      <c r="I325" s="1"/>
      <c r="J325" s="1"/>
      <c r="K325" s="1"/>
    </row>
    <row r="326" spans="3:11" x14ac:dyDescent="0.3">
      <c r="C326" s="1"/>
      <c r="D326" s="1">
        <v>1.925</v>
      </c>
      <c r="E326" s="1">
        <v>0.80790137000000006</v>
      </c>
      <c r="F326" s="1">
        <v>7.5603749999999997E-2</v>
      </c>
      <c r="G326" s="1">
        <v>7.5768539999999995E-2</v>
      </c>
      <c r="H326" s="1"/>
      <c r="I326" s="1"/>
      <c r="J326" s="1"/>
      <c r="K326" s="1"/>
    </row>
    <row r="327" spans="3:11" x14ac:dyDescent="0.3">
      <c r="C327" s="1"/>
      <c r="D327" s="1">
        <v>1.93</v>
      </c>
      <c r="E327" s="1">
        <v>0.80792670999999994</v>
      </c>
      <c r="F327" s="1">
        <v>7.5636999999999996E-2</v>
      </c>
      <c r="G327" s="1">
        <v>7.5697039999999993E-2</v>
      </c>
      <c r="H327" s="1"/>
      <c r="I327" s="1"/>
      <c r="J327" s="1"/>
      <c r="K327" s="1"/>
    </row>
    <row r="328" spans="3:11" x14ac:dyDescent="0.3">
      <c r="C328" s="1"/>
      <c r="D328" s="1">
        <v>1.9350000000000001</v>
      </c>
      <c r="E328" s="1">
        <v>0.80799108000000008</v>
      </c>
      <c r="F328" s="1">
        <v>7.5534409999999996E-2</v>
      </c>
      <c r="G328" s="1">
        <v>7.5657490000000008E-2</v>
      </c>
      <c r="H328" s="1"/>
      <c r="I328" s="1"/>
      <c r="J328" s="1"/>
      <c r="K328" s="1"/>
    </row>
    <row r="329" spans="3:11" x14ac:dyDescent="0.3">
      <c r="C329" s="1"/>
      <c r="D329" s="1">
        <v>1.94</v>
      </c>
      <c r="E329" s="1">
        <v>0.80788596999999995</v>
      </c>
      <c r="F329" s="1">
        <v>7.5436249999999996E-2</v>
      </c>
      <c r="G329" s="1">
        <v>7.5593880000000002E-2</v>
      </c>
      <c r="H329" s="1"/>
      <c r="I329" s="1"/>
      <c r="J329" s="1"/>
      <c r="K329" s="1"/>
    </row>
    <row r="330" spans="3:11" x14ac:dyDescent="0.3">
      <c r="C330" s="1"/>
      <c r="D330" s="1">
        <v>1.9450000000000001</v>
      </c>
      <c r="E330" s="1">
        <v>0.80762732000000004</v>
      </c>
      <c r="F330" s="1">
        <v>7.5382710000000006E-2</v>
      </c>
      <c r="G330" s="1">
        <v>7.5665670000000004E-2</v>
      </c>
      <c r="H330" s="1"/>
      <c r="I330" s="1"/>
      <c r="J330" s="1"/>
      <c r="K330" s="1"/>
    </row>
    <row r="331" spans="3:11" x14ac:dyDescent="0.3">
      <c r="C331" s="1"/>
      <c r="D331" s="1">
        <v>1.95</v>
      </c>
      <c r="E331" s="1">
        <v>0.80745091999999996</v>
      </c>
      <c r="F331" s="1">
        <v>7.5376109999999996E-2</v>
      </c>
      <c r="G331" s="1">
        <v>7.5689779999999998E-2</v>
      </c>
      <c r="H331" s="1"/>
      <c r="I331" s="1"/>
      <c r="J331" s="1"/>
      <c r="K331" s="1"/>
    </row>
    <row r="332" spans="3:11" x14ac:dyDescent="0.3">
      <c r="C332" s="1"/>
      <c r="D332" s="1">
        <v>1.9550000000000001</v>
      </c>
      <c r="E332" s="1">
        <v>0.80764661999999998</v>
      </c>
      <c r="F332" s="1">
        <v>7.5437469999999993E-2</v>
      </c>
      <c r="G332" s="1">
        <v>7.5696719999999995E-2</v>
      </c>
      <c r="H332" s="1"/>
      <c r="I332" s="1"/>
      <c r="J332" s="1"/>
      <c r="K332" s="1"/>
    </row>
    <row r="333" spans="3:11" x14ac:dyDescent="0.3">
      <c r="C333" s="1"/>
      <c r="D333" s="1">
        <v>1.96</v>
      </c>
      <c r="E333" s="1">
        <v>0.80746703999999991</v>
      </c>
      <c r="F333" s="1">
        <v>7.5522710000000007E-2</v>
      </c>
      <c r="G333" s="1">
        <v>7.5549499999999992E-2</v>
      </c>
      <c r="H333" s="1"/>
      <c r="I333" s="1"/>
      <c r="J333" s="1"/>
      <c r="K333" s="1"/>
    </row>
    <row r="334" spans="3:11" x14ac:dyDescent="0.3">
      <c r="C334" s="1"/>
      <c r="D334" s="1">
        <v>1.9650000000000001</v>
      </c>
      <c r="E334" s="1">
        <v>0.80746154999999997</v>
      </c>
      <c r="F334" s="1">
        <v>7.5414049999999996E-2</v>
      </c>
      <c r="G334" s="1">
        <v>7.5555719999999993E-2</v>
      </c>
      <c r="H334" s="1"/>
      <c r="I334" s="1"/>
      <c r="J334" s="1"/>
      <c r="K334" s="1"/>
    </row>
    <row r="335" spans="3:11" x14ac:dyDescent="0.3">
      <c r="C335" s="1"/>
      <c r="D335" s="1">
        <v>1.97</v>
      </c>
      <c r="E335" s="1">
        <v>0.80736852999999997</v>
      </c>
      <c r="F335" s="1">
        <v>7.5396489999999997E-2</v>
      </c>
      <c r="G335" s="1">
        <v>7.5577420000000006E-2</v>
      </c>
      <c r="H335" s="1"/>
      <c r="I335" s="1"/>
      <c r="J335" s="1"/>
      <c r="K335" s="1"/>
    </row>
    <row r="336" spans="3:11" x14ac:dyDescent="0.3">
      <c r="C336" s="1"/>
      <c r="D336" s="1">
        <v>1.9750000000000001</v>
      </c>
      <c r="E336" s="1">
        <v>0.80740582000000005</v>
      </c>
      <c r="F336" s="1">
        <v>7.5361410000000004E-2</v>
      </c>
      <c r="G336" s="1">
        <v>7.5499319999999995E-2</v>
      </c>
      <c r="H336" s="1"/>
      <c r="I336" s="1"/>
      <c r="J336" s="1"/>
      <c r="K336" s="1"/>
    </row>
    <row r="337" spans="3:11" x14ac:dyDescent="0.3">
      <c r="C337" s="1"/>
      <c r="D337" s="1">
        <v>1.98</v>
      </c>
      <c r="E337" s="1">
        <v>0.80727238999999995</v>
      </c>
      <c r="F337" s="1">
        <v>7.5351039999999994E-2</v>
      </c>
      <c r="G337" s="1">
        <v>7.5524370000000007E-2</v>
      </c>
      <c r="H337" s="1"/>
      <c r="I337" s="1"/>
      <c r="J337" s="1"/>
      <c r="K337" s="1"/>
    </row>
    <row r="338" spans="3:11" x14ac:dyDescent="0.3">
      <c r="C338" s="1"/>
      <c r="D338" s="1">
        <v>1.9850000000000001</v>
      </c>
      <c r="E338" s="1">
        <v>0.80711016999999996</v>
      </c>
      <c r="F338" s="1">
        <v>7.5294710000000001E-2</v>
      </c>
      <c r="G338" s="1">
        <v>7.5433589999999995E-2</v>
      </c>
      <c r="H338" s="1"/>
      <c r="I338" s="1"/>
      <c r="J338" s="1"/>
      <c r="K338" s="1"/>
    </row>
    <row r="339" spans="3:11" x14ac:dyDescent="0.3">
      <c r="C339" s="1"/>
      <c r="D339" s="1">
        <v>1.99</v>
      </c>
      <c r="E339" s="1">
        <v>0.80713999000000003</v>
      </c>
      <c r="F339" s="1">
        <v>7.5256539999999997E-2</v>
      </c>
      <c r="G339" s="1">
        <v>7.5426090000000001E-2</v>
      </c>
      <c r="H339" s="1"/>
      <c r="I339" s="1"/>
      <c r="J339" s="1"/>
      <c r="K339" s="1"/>
    </row>
    <row r="340" spans="3:11" x14ac:dyDescent="0.3">
      <c r="C340" s="1"/>
      <c r="D340" s="1">
        <v>1.9950000000000001</v>
      </c>
      <c r="E340" s="1">
        <v>0.80702918999999995</v>
      </c>
      <c r="F340" s="1">
        <v>7.5199160000000001E-2</v>
      </c>
      <c r="G340" s="1">
        <v>7.5258560000000002E-2</v>
      </c>
      <c r="H340" s="1"/>
      <c r="I340" s="1"/>
      <c r="J340" s="1"/>
      <c r="K340" s="1"/>
    </row>
    <row r="341" spans="3:11" x14ac:dyDescent="0.3">
      <c r="C341" s="1"/>
      <c r="D341" s="1">
        <v>2</v>
      </c>
      <c r="E341" s="1">
        <v>0.80707795000000004</v>
      </c>
      <c r="F341" s="1">
        <v>7.5085849999999996E-2</v>
      </c>
      <c r="G341" s="1">
        <v>7.5243950000000004E-2</v>
      </c>
      <c r="H341" s="1"/>
      <c r="I341" s="1"/>
      <c r="J341" s="1"/>
      <c r="K341" s="1"/>
    </row>
    <row r="342" spans="3:11" x14ac:dyDescent="0.3">
      <c r="C342" s="1"/>
      <c r="D342" s="1">
        <v>2.0049999999999999</v>
      </c>
      <c r="E342" s="1">
        <v>0.80704365</v>
      </c>
      <c r="F342" s="1">
        <v>7.4989029999999998E-2</v>
      </c>
      <c r="G342" s="1">
        <v>7.5200820000000002E-2</v>
      </c>
      <c r="H342" s="1"/>
      <c r="I342" s="1"/>
      <c r="J342" s="1"/>
      <c r="K342" s="1"/>
    </row>
    <row r="343" spans="3:11" x14ac:dyDescent="0.3">
      <c r="C343" s="1"/>
      <c r="D343" s="1">
        <v>2.0099999999999998</v>
      </c>
      <c r="E343" s="1">
        <v>0.80716120999999996</v>
      </c>
      <c r="F343" s="1">
        <v>7.476975000000001E-2</v>
      </c>
      <c r="G343" s="1">
        <v>7.5005500000000003E-2</v>
      </c>
      <c r="H343" s="1"/>
      <c r="I343" s="1"/>
      <c r="J343" s="1"/>
      <c r="K343" s="1"/>
    </row>
    <row r="344" spans="3:11" x14ac:dyDescent="0.3">
      <c r="C344" s="1"/>
      <c r="D344" s="1">
        <v>2.0150000000000001</v>
      </c>
      <c r="E344" s="1">
        <v>0.80703170999999996</v>
      </c>
      <c r="F344" s="1">
        <v>7.473088E-2</v>
      </c>
      <c r="G344" s="1">
        <v>7.4786459999999999E-2</v>
      </c>
      <c r="H344" s="1"/>
      <c r="I344" s="1"/>
      <c r="J344" s="1"/>
      <c r="K344" s="1"/>
    </row>
    <row r="345" spans="3:11" x14ac:dyDescent="0.3">
      <c r="C345" s="1"/>
      <c r="D345" s="1">
        <v>2.02</v>
      </c>
      <c r="E345" s="1">
        <v>0.80723533000000003</v>
      </c>
      <c r="F345" s="1">
        <v>7.4713979999999999E-2</v>
      </c>
      <c r="G345" s="1">
        <v>7.4783959999999997E-2</v>
      </c>
      <c r="H345" s="1"/>
      <c r="I345" s="1"/>
      <c r="J345" s="1"/>
      <c r="K345" s="1"/>
    </row>
    <row r="346" spans="3:11" x14ac:dyDescent="0.3">
      <c r="C346" s="1"/>
      <c r="D346" s="1">
        <v>2.0249999999999999</v>
      </c>
      <c r="E346" s="1">
        <v>0.80710879000000002</v>
      </c>
      <c r="F346" s="1">
        <v>7.4590450000000003E-2</v>
      </c>
      <c r="G346" s="1">
        <v>7.4782149999999992E-2</v>
      </c>
      <c r="H346" s="1"/>
      <c r="I346" s="1"/>
      <c r="J346" s="1"/>
      <c r="K346" s="1"/>
    </row>
    <row r="347" spans="3:11" x14ac:dyDescent="0.3">
      <c r="C347" s="1"/>
      <c r="D347" s="1">
        <v>2.0299999999999998</v>
      </c>
      <c r="E347" s="1">
        <v>0.80714139000000007</v>
      </c>
      <c r="F347" s="1">
        <v>7.4650969999999997E-2</v>
      </c>
      <c r="G347" s="1">
        <v>7.4748780000000001E-2</v>
      </c>
      <c r="H347" s="1"/>
      <c r="I347" s="1"/>
      <c r="J347" s="1"/>
      <c r="K347" s="1"/>
    </row>
    <row r="348" spans="3:11" x14ac:dyDescent="0.3">
      <c r="C348" s="1"/>
      <c r="D348" s="1">
        <v>2.0350000000000001</v>
      </c>
      <c r="E348" s="1">
        <v>0.80725188000000003</v>
      </c>
      <c r="F348" s="1">
        <v>7.4768349999999997E-2</v>
      </c>
      <c r="G348" s="1">
        <v>7.4788480000000004E-2</v>
      </c>
      <c r="H348" s="1"/>
      <c r="I348" s="1"/>
      <c r="J348" s="1"/>
      <c r="K348" s="1"/>
    </row>
    <row r="349" spans="3:11" x14ac:dyDescent="0.3">
      <c r="C349" s="1"/>
      <c r="D349" s="1">
        <v>2.04</v>
      </c>
      <c r="E349" s="1">
        <v>0.80737615000000007</v>
      </c>
      <c r="F349" s="1">
        <v>7.4613440000000003E-2</v>
      </c>
      <c r="G349" s="1">
        <v>7.4699780000000007E-2</v>
      </c>
      <c r="H349" s="1"/>
      <c r="I349" s="1"/>
      <c r="J349" s="1"/>
      <c r="K349" s="1"/>
    </row>
    <row r="350" spans="3:11" x14ac:dyDescent="0.3">
      <c r="C350" s="1"/>
      <c r="D350" s="1">
        <v>2.0449999999999999</v>
      </c>
      <c r="E350" s="1">
        <v>0.80762433999999994</v>
      </c>
      <c r="F350" s="1">
        <v>7.4603290000000003E-2</v>
      </c>
      <c r="G350" s="1">
        <v>7.4717480000000003E-2</v>
      </c>
      <c r="H350" s="1"/>
      <c r="I350" s="1"/>
      <c r="J350" s="1"/>
      <c r="K350" s="1"/>
    </row>
    <row r="351" spans="3:11" x14ac:dyDescent="0.3">
      <c r="C351" s="1"/>
      <c r="D351" s="1">
        <v>2.0499999999999998</v>
      </c>
      <c r="E351" s="1">
        <v>0.80758937000000008</v>
      </c>
      <c r="F351" s="1">
        <v>7.4667499999999998E-2</v>
      </c>
      <c r="G351" s="1">
        <v>7.4566720000000003E-2</v>
      </c>
      <c r="H351" s="1"/>
      <c r="I351" s="1"/>
      <c r="J351" s="1"/>
      <c r="K351" s="1"/>
    </row>
    <row r="352" spans="3:11" x14ac:dyDescent="0.3">
      <c r="C352" s="1"/>
      <c r="D352" s="1">
        <v>2.0550000000000002</v>
      </c>
      <c r="E352" s="1">
        <v>0.80771761999999991</v>
      </c>
      <c r="F352" s="1">
        <v>7.4683899999999998E-2</v>
      </c>
      <c r="G352" s="1">
        <v>7.4652219999999991E-2</v>
      </c>
      <c r="H352" s="1"/>
      <c r="I352" s="1"/>
      <c r="J352" s="1"/>
      <c r="K352" s="1"/>
    </row>
    <row r="353" spans="3:11" x14ac:dyDescent="0.3">
      <c r="C353" s="1"/>
      <c r="D353" s="1">
        <v>2.06</v>
      </c>
      <c r="E353" s="1">
        <v>0.80786900000000006</v>
      </c>
      <c r="F353" s="1">
        <v>7.4799840000000006E-2</v>
      </c>
      <c r="G353" s="1">
        <v>7.4787359999999997E-2</v>
      </c>
      <c r="H353" s="1"/>
      <c r="I353" s="1"/>
      <c r="J353" s="1"/>
      <c r="K353" s="1"/>
    </row>
    <row r="354" spans="3:11" x14ac:dyDescent="0.3">
      <c r="C354" s="1"/>
      <c r="D354" s="1">
        <v>2.0649999999999999</v>
      </c>
      <c r="E354" s="1">
        <v>0.807921</v>
      </c>
      <c r="F354" s="1">
        <v>7.4623350000000005E-2</v>
      </c>
      <c r="G354" s="1">
        <v>7.4751060000000008E-2</v>
      </c>
      <c r="H354" s="1"/>
      <c r="I354" s="1"/>
      <c r="J354" s="1"/>
      <c r="K354" s="1"/>
    </row>
    <row r="355" spans="3:11" x14ac:dyDescent="0.3">
      <c r="C355" s="1"/>
      <c r="D355" s="1">
        <v>2.0699999999999998</v>
      </c>
      <c r="E355" s="1">
        <v>0.80802684000000002</v>
      </c>
      <c r="F355" s="1">
        <v>7.4631920000000004E-2</v>
      </c>
      <c r="G355" s="1">
        <v>7.4743329999999997E-2</v>
      </c>
      <c r="H355" s="1"/>
      <c r="I355" s="1"/>
      <c r="J355" s="1"/>
      <c r="K355" s="1"/>
    </row>
    <row r="356" spans="3:11" x14ac:dyDescent="0.3">
      <c r="C356" s="1"/>
      <c r="D356" s="1">
        <v>2.0750000000000002</v>
      </c>
      <c r="E356" s="1">
        <v>0.80810477000000003</v>
      </c>
      <c r="F356" s="1">
        <v>7.4756199999999995E-2</v>
      </c>
      <c r="G356" s="1">
        <v>7.4785980000000002E-2</v>
      </c>
      <c r="H356" s="1"/>
      <c r="I356" s="1"/>
      <c r="J356" s="1"/>
      <c r="K356" s="1"/>
    </row>
    <row r="357" spans="3:11" x14ac:dyDescent="0.3">
      <c r="C357" s="1"/>
      <c r="D357" s="1">
        <v>2.08</v>
      </c>
      <c r="E357" s="1">
        <v>0.8080933400000001</v>
      </c>
      <c r="F357" s="1">
        <v>7.4702260000000006E-2</v>
      </c>
      <c r="G357" s="1">
        <v>7.4707059999999992E-2</v>
      </c>
      <c r="H357" s="1"/>
      <c r="I357" s="1"/>
      <c r="J357" s="1"/>
      <c r="K357" s="1"/>
    </row>
    <row r="358" spans="3:11" x14ac:dyDescent="0.3">
      <c r="C358" s="1"/>
      <c r="D358" s="1">
        <v>2.085</v>
      </c>
      <c r="E358" s="1">
        <v>0.80802216000000004</v>
      </c>
      <c r="F358" s="1">
        <v>7.4708999999999998E-2</v>
      </c>
      <c r="G358" s="1">
        <v>7.477528E-2</v>
      </c>
      <c r="H358" s="1"/>
      <c r="I358" s="1"/>
      <c r="J358" s="1"/>
      <c r="K358" s="1"/>
    </row>
    <row r="359" spans="3:11" x14ac:dyDescent="0.3">
      <c r="C359" s="1"/>
      <c r="D359" s="1">
        <v>2.09</v>
      </c>
      <c r="E359" s="1">
        <v>0.80823213999999988</v>
      </c>
      <c r="F359" s="1">
        <v>7.4595430000000004E-2</v>
      </c>
      <c r="G359" s="1">
        <v>7.478760000000001E-2</v>
      </c>
      <c r="H359" s="1"/>
      <c r="I359" s="1"/>
      <c r="J359" s="1"/>
      <c r="K359" s="1"/>
    </row>
    <row r="360" spans="3:11" x14ac:dyDescent="0.3">
      <c r="C360" s="1"/>
      <c r="D360" s="1">
        <v>2.0950000000000002</v>
      </c>
      <c r="E360" s="1">
        <v>0.80819421000000002</v>
      </c>
      <c r="F360" s="1">
        <v>7.4471179999999998E-2</v>
      </c>
      <c r="G360" s="1">
        <v>7.4603799999999998E-2</v>
      </c>
      <c r="H360" s="1"/>
      <c r="I360" s="1"/>
      <c r="J360" s="1"/>
      <c r="K360" s="1"/>
    </row>
    <row r="361" spans="3:11" x14ac:dyDescent="0.3">
      <c r="C361" s="1"/>
      <c r="D361" s="1">
        <v>2.1</v>
      </c>
      <c r="E361" s="1">
        <v>0.80800167999999994</v>
      </c>
      <c r="F361" s="1">
        <v>7.4662430000000002E-2</v>
      </c>
      <c r="G361" s="1">
        <v>7.4660500000000005E-2</v>
      </c>
      <c r="H361" s="1"/>
      <c r="I361" s="1"/>
      <c r="J361" s="1"/>
      <c r="K361" s="1"/>
    </row>
    <row r="362" spans="3:11" x14ac:dyDescent="0.3">
      <c r="C362" s="1"/>
      <c r="D362" s="1">
        <v>2.105</v>
      </c>
      <c r="E362" s="1">
        <v>0.80816089000000002</v>
      </c>
      <c r="F362" s="1">
        <v>7.4533779999999994E-2</v>
      </c>
      <c r="G362" s="1">
        <v>7.4521290000000004E-2</v>
      </c>
      <c r="H362" s="1"/>
      <c r="I362" s="1"/>
      <c r="J362" s="1"/>
      <c r="K362" s="1"/>
    </row>
    <row r="363" spans="3:11" x14ac:dyDescent="0.3">
      <c r="C363" s="1"/>
      <c r="D363" s="1">
        <v>2.11</v>
      </c>
      <c r="E363" s="1">
        <v>0.80798716999999998</v>
      </c>
      <c r="F363" s="1">
        <v>7.455777999999999E-2</v>
      </c>
      <c r="G363" s="1">
        <v>7.4702930000000001E-2</v>
      </c>
      <c r="H363" s="1"/>
      <c r="I363" s="1"/>
      <c r="J363" s="1"/>
      <c r="K363" s="1"/>
    </row>
    <row r="364" spans="3:11" x14ac:dyDescent="0.3">
      <c r="C364" s="1"/>
      <c r="D364" s="1">
        <v>2.1150000000000002</v>
      </c>
      <c r="E364" s="1">
        <v>0.80786086999999995</v>
      </c>
      <c r="F364" s="1">
        <v>7.4538820000000006E-2</v>
      </c>
      <c r="G364" s="1">
        <v>7.4758980000000003E-2</v>
      </c>
      <c r="H364" s="1"/>
      <c r="I364" s="1"/>
      <c r="J364" s="1"/>
      <c r="K364" s="1"/>
    </row>
    <row r="365" spans="3:11" x14ac:dyDescent="0.3">
      <c r="C365" s="1"/>
      <c r="D365" s="1">
        <v>2.12</v>
      </c>
      <c r="E365" s="1">
        <v>0.80763487</v>
      </c>
      <c r="F365" s="1">
        <v>7.4457309999999999E-2</v>
      </c>
      <c r="G365" s="1">
        <v>7.4486150000000001E-2</v>
      </c>
      <c r="H365" s="1"/>
      <c r="I365" s="1"/>
      <c r="J365" s="1"/>
      <c r="K365" s="1"/>
    </row>
    <row r="366" spans="3:11" x14ac:dyDescent="0.3">
      <c r="C366" s="1"/>
      <c r="D366" s="1">
        <v>2.125</v>
      </c>
      <c r="E366" s="1">
        <v>0.80757268999999998</v>
      </c>
      <c r="F366" s="1">
        <v>7.4310470000000003E-2</v>
      </c>
      <c r="G366" s="1">
        <v>7.4583640000000007E-2</v>
      </c>
      <c r="H366" s="1"/>
      <c r="I366" s="1"/>
      <c r="J366" s="1"/>
      <c r="K366" s="1"/>
    </row>
    <row r="367" spans="3:11" x14ac:dyDescent="0.3">
      <c r="C367" s="1"/>
      <c r="D367" s="1">
        <v>2.13</v>
      </c>
      <c r="E367" s="1">
        <v>0.80723549000000006</v>
      </c>
      <c r="F367" s="1">
        <v>7.444263000000001E-2</v>
      </c>
      <c r="G367" s="1">
        <v>7.4392600000000003E-2</v>
      </c>
      <c r="H367" s="1"/>
      <c r="I367" s="1"/>
      <c r="J367" s="1"/>
      <c r="K367" s="1"/>
    </row>
    <row r="368" spans="3:11" x14ac:dyDescent="0.3">
      <c r="C368" s="1"/>
      <c r="D368" s="1">
        <v>2.1349999999999998</v>
      </c>
      <c r="E368" s="1">
        <v>0.80680795000000005</v>
      </c>
      <c r="F368" s="1">
        <v>7.4383409999999997E-2</v>
      </c>
      <c r="G368" s="1">
        <v>7.4288170000000001E-2</v>
      </c>
      <c r="H368" s="1"/>
      <c r="I368" s="1"/>
      <c r="J368" s="1"/>
      <c r="K368" s="1"/>
    </row>
    <row r="369" spans="3:11" x14ac:dyDescent="0.3">
      <c r="C369" s="1"/>
      <c r="D369" s="1">
        <v>2.14</v>
      </c>
      <c r="E369" s="1">
        <v>0.8062332499999999</v>
      </c>
      <c r="F369" s="1">
        <v>7.4059979999999997E-2</v>
      </c>
      <c r="G369" s="1">
        <v>7.4131150000000007E-2</v>
      </c>
      <c r="H369" s="1"/>
      <c r="I369" s="1"/>
      <c r="J369" s="1"/>
      <c r="K369" s="1"/>
    </row>
    <row r="370" spans="3:11" x14ac:dyDescent="0.3">
      <c r="C370" s="1"/>
      <c r="D370" s="1">
        <v>2.145</v>
      </c>
      <c r="E370" s="1">
        <v>0.80578538</v>
      </c>
      <c r="F370" s="1">
        <v>7.4109499999999995E-2</v>
      </c>
      <c r="G370" s="1">
        <v>7.3970079999999994E-2</v>
      </c>
      <c r="H370" s="1"/>
      <c r="I370" s="1"/>
      <c r="J370" s="1"/>
      <c r="K370" s="1"/>
    </row>
    <row r="371" spans="3:11" x14ac:dyDescent="0.3">
      <c r="C371" s="1"/>
      <c r="D371" s="1">
        <v>2.15</v>
      </c>
      <c r="E371" s="1">
        <v>0.80531823000000002</v>
      </c>
      <c r="F371" s="1">
        <v>7.3938799999999999E-2</v>
      </c>
      <c r="G371" s="1">
        <v>7.397919E-2</v>
      </c>
      <c r="H371" s="1"/>
      <c r="I371" s="1"/>
      <c r="J371" s="1"/>
      <c r="K371" s="1"/>
    </row>
    <row r="372" spans="3:11" x14ac:dyDescent="0.3">
      <c r="C372" s="1"/>
      <c r="D372" s="1">
        <v>2.1549999999999998</v>
      </c>
      <c r="E372" s="1">
        <v>0.80434481000000002</v>
      </c>
      <c r="F372" s="1">
        <v>7.366404E-2</v>
      </c>
      <c r="G372" s="1">
        <v>7.3781330000000006E-2</v>
      </c>
      <c r="H372" s="1"/>
      <c r="I372" s="1"/>
      <c r="J372" s="1"/>
      <c r="K372" s="1"/>
    </row>
    <row r="373" spans="3:11" x14ac:dyDescent="0.3">
      <c r="C373" s="1"/>
      <c r="D373" s="1">
        <v>2.16</v>
      </c>
      <c r="E373" s="1">
        <v>0.80350993000000004</v>
      </c>
      <c r="F373" s="1">
        <v>7.3561029999999999E-2</v>
      </c>
      <c r="G373" s="1">
        <v>7.3595640000000004E-2</v>
      </c>
      <c r="H373" s="1"/>
      <c r="I373" s="1"/>
      <c r="J373" s="1"/>
      <c r="K373" s="1"/>
    </row>
    <row r="374" spans="3:11" x14ac:dyDescent="0.3">
      <c r="C374" s="1"/>
      <c r="D374" s="1">
        <v>2.165</v>
      </c>
      <c r="E374" s="1">
        <v>0.80201044999999993</v>
      </c>
      <c r="F374" s="1">
        <v>7.3274600000000009E-2</v>
      </c>
      <c r="G374" s="1">
        <v>7.3413859999999997E-2</v>
      </c>
      <c r="H374" s="1"/>
      <c r="I374" s="1"/>
      <c r="J374" s="1"/>
      <c r="K374" s="1"/>
    </row>
    <row r="375" spans="3:11" x14ac:dyDescent="0.3">
      <c r="C375" s="1"/>
      <c r="D375" s="1">
        <v>2.17</v>
      </c>
      <c r="E375" s="1">
        <v>0.80060136000000004</v>
      </c>
      <c r="F375" s="1">
        <v>7.3273050000000006E-2</v>
      </c>
      <c r="G375" s="1">
        <v>7.3359480000000005E-2</v>
      </c>
      <c r="H375" s="1"/>
      <c r="I375" s="1"/>
      <c r="J375" s="1"/>
      <c r="K375" s="1"/>
    </row>
    <row r="376" spans="3:11" x14ac:dyDescent="0.3">
      <c r="C376" s="1"/>
      <c r="D376" s="1">
        <v>2.1749999999999998</v>
      </c>
      <c r="E376" s="1">
        <v>0.79832337999999992</v>
      </c>
      <c r="F376" s="1">
        <v>7.2947719999999994E-2</v>
      </c>
      <c r="G376" s="1">
        <v>7.3058079999999997E-2</v>
      </c>
      <c r="H376" s="1"/>
      <c r="I376" s="1"/>
      <c r="J376" s="1"/>
      <c r="K376" s="1"/>
    </row>
    <row r="377" spans="3:11" x14ac:dyDescent="0.3">
      <c r="C377" s="1"/>
      <c r="D377" s="1">
        <v>2.1800000000000002</v>
      </c>
      <c r="E377" s="1">
        <v>0.79598139000000001</v>
      </c>
      <c r="F377" s="1">
        <v>7.2609260000000009E-2</v>
      </c>
      <c r="G377" s="1">
        <v>7.2757909999999995E-2</v>
      </c>
      <c r="H377" s="1"/>
      <c r="I377" s="1"/>
      <c r="J377" s="1"/>
      <c r="K377" s="1"/>
    </row>
    <row r="378" spans="3:11" x14ac:dyDescent="0.3">
      <c r="C378" s="1"/>
      <c r="D378" s="1">
        <v>2.1850000000000001</v>
      </c>
      <c r="E378" s="1">
        <v>0.79322443000000009</v>
      </c>
      <c r="F378" s="1">
        <v>7.2359580000000007E-2</v>
      </c>
      <c r="G378" s="1">
        <v>7.2505230000000004E-2</v>
      </c>
      <c r="H378" s="1"/>
      <c r="I378" s="1"/>
      <c r="J378" s="1"/>
      <c r="K378" s="1"/>
    </row>
    <row r="379" spans="3:11" x14ac:dyDescent="0.3">
      <c r="C379" s="1"/>
      <c r="D379" s="1">
        <v>2.19</v>
      </c>
      <c r="E379" s="1">
        <v>0.79047224999999999</v>
      </c>
      <c r="F379" s="1">
        <v>7.2200780000000006E-2</v>
      </c>
      <c r="G379" s="1">
        <v>7.220174E-2</v>
      </c>
      <c r="H379" s="1"/>
      <c r="I379" s="1"/>
      <c r="J379" s="1"/>
      <c r="K379" s="1"/>
    </row>
    <row r="380" spans="3:11" x14ac:dyDescent="0.3">
      <c r="C380" s="1"/>
      <c r="D380" s="1">
        <v>2.1949999999999998</v>
      </c>
      <c r="E380" s="1">
        <v>0.78773961000000003</v>
      </c>
      <c r="F380" s="1">
        <v>7.1870879999999998E-2</v>
      </c>
      <c r="G380" s="1">
        <v>7.1886199999999997E-2</v>
      </c>
      <c r="H380" s="1"/>
      <c r="I380" s="1"/>
      <c r="J380" s="1"/>
      <c r="K380" s="1"/>
    </row>
    <row r="381" spans="3:11" x14ac:dyDescent="0.3">
      <c r="C381" s="1"/>
      <c r="D381" s="1">
        <v>2.2000000000000002</v>
      </c>
      <c r="E381" s="1">
        <v>0.78552321000000003</v>
      </c>
      <c r="F381" s="1">
        <v>7.1671390000000001E-2</v>
      </c>
      <c r="G381" s="1">
        <v>7.1675219999999998E-2</v>
      </c>
      <c r="H381" s="1"/>
      <c r="I381" s="1"/>
      <c r="J381" s="1"/>
      <c r="K381" s="1"/>
    </row>
    <row r="382" spans="3:11" x14ac:dyDescent="0.3">
      <c r="C382" s="1"/>
      <c r="D382" s="1">
        <v>2.2050000000000001</v>
      </c>
      <c r="E382" s="1">
        <v>0.78345973999999996</v>
      </c>
      <c r="F382" s="1">
        <v>7.1402690000000005E-2</v>
      </c>
      <c r="G382" s="1">
        <v>7.1564169999999996E-2</v>
      </c>
      <c r="H382" s="1"/>
      <c r="I382" s="1"/>
      <c r="J382" s="1"/>
      <c r="K382" s="1"/>
    </row>
    <row r="383" spans="3:11" x14ac:dyDescent="0.3">
      <c r="C383" s="1"/>
      <c r="D383" s="1">
        <v>2.21</v>
      </c>
      <c r="E383" s="1">
        <v>0.78227046999999994</v>
      </c>
      <c r="F383" s="1">
        <v>7.126687000000001E-2</v>
      </c>
      <c r="G383" s="1">
        <v>7.1399610000000002E-2</v>
      </c>
      <c r="H383" s="1"/>
      <c r="I383" s="1"/>
      <c r="J383" s="1"/>
      <c r="K383" s="1"/>
    </row>
    <row r="384" spans="3:11" x14ac:dyDescent="0.3">
      <c r="C384" s="1"/>
      <c r="D384" s="1">
        <v>2.2149999999999999</v>
      </c>
      <c r="E384" s="1">
        <v>0.78143395999999998</v>
      </c>
      <c r="F384" s="1">
        <v>7.1276859999999997E-2</v>
      </c>
      <c r="G384" s="1">
        <v>7.1369450000000001E-2</v>
      </c>
      <c r="H384" s="1"/>
      <c r="I384" s="1"/>
      <c r="J384" s="1"/>
      <c r="K384" s="1"/>
    </row>
    <row r="385" spans="3:11" x14ac:dyDescent="0.3">
      <c r="C385" s="1"/>
      <c r="D385" s="1">
        <v>2.2200000000000002</v>
      </c>
      <c r="E385" s="1">
        <v>0.78085226000000008</v>
      </c>
      <c r="F385" s="1">
        <v>7.1321809999999999E-2</v>
      </c>
      <c r="G385" s="1">
        <v>7.1226430000000007E-2</v>
      </c>
      <c r="H385" s="1"/>
      <c r="I385" s="1"/>
      <c r="J385" s="1"/>
      <c r="K385" s="1"/>
    </row>
    <row r="386" spans="3:11" x14ac:dyDescent="0.3">
      <c r="C386" s="1"/>
      <c r="D386" s="1">
        <v>2.2250000000000001</v>
      </c>
      <c r="E386" s="1">
        <v>0.78069861000000007</v>
      </c>
      <c r="F386" s="1">
        <v>7.1336360000000001E-2</v>
      </c>
      <c r="G386" s="1">
        <v>7.1207699999999999E-2</v>
      </c>
      <c r="H386" s="1"/>
      <c r="I386" s="1"/>
      <c r="J386" s="1"/>
      <c r="K386" s="1"/>
    </row>
    <row r="387" spans="3:11" x14ac:dyDescent="0.3">
      <c r="C387" s="1"/>
      <c r="D387" s="1">
        <v>2.23</v>
      </c>
      <c r="E387" s="1">
        <v>0.78110994</v>
      </c>
      <c r="F387" s="1">
        <v>7.1277170000000001E-2</v>
      </c>
      <c r="G387" s="1">
        <v>7.130765E-2</v>
      </c>
      <c r="H387" s="1"/>
      <c r="I387" s="1"/>
      <c r="J387" s="1"/>
      <c r="K387" s="1"/>
    </row>
    <row r="388" spans="3:11" x14ac:dyDescent="0.3">
      <c r="C388" s="1"/>
      <c r="D388" s="1">
        <v>2.2349999999999999</v>
      </c>
      <c r="E388" s="1">
        <v>0.78149362</v>
      </c>
      <c r="F388" s="1">
        <v>7.1150850000000002E-2</v>
      </c>
      <c r="G388" s="1">
        <v>7.1398320000000001E-2</v>
      </c>
      <c r="H388" s="1"/>
      <c r="I388" s="1"/>
      <c r="J388" s="1"/>
      <c r="K388" s="1"/>
    </row>
    <row r="389" spans="3:11" x14ac:dyDescent="0.3">
      <c r="C389" s="1"/>
      <c r="D389" s="1">
        <v>2.2400000000000002</v>
      </c>
      <c r="E389" s="1">
        <v>0.78215194999999993</v>
      </c>
      <c r="F389" s="1">
        <v>7.1244089999999996E-2</v>
      </c>
      <c r="G389" s="1">
        <v>7.1497959999999999E-2</v>
      </c>
      <c r="H389" s="1"/>
      <c r="I389" s="1"/>
      <c r="J389" s="1"/>
      <c r="K389" s="1"/>
    </row>
    <row r="390" spans="3:11" x14ac:dyDescent="0.3">
      <c r="C390" s="1"/>
      <c r="D390" s="1">
        <v>2.2450000000000001</v>
      </c>
      <c r="E390" s="1">
        <v>0.78317336999999998</v>
      </c>
      <c r="F390" s="1">
        <v>7.1472930000000004E-2</v>
      </c>
      <c r="G390" s="1">
        <v>7.1443489999999998E-2</v>
      </c>
      <c r="H390" s="1"/>
      <c r="I390" s="1"/>
      <c r="J390" s="1"/>
      <c r="K390" s="1"/>
    </row>
    <row r="391" spans="3:11" x14ac:dyDescent="0.3">
      <c r="C391" s="1"/>
      <c r="D391" s="1">
        <v>2.25</v>
      </c>
      <c r="E391" s="1">
        <v>0.78408049000000002</v>
      </c>
      <c r="F391" s="1">
        <v>7.149549999999999E-2</v>
      </c>
      <c r="G391" s="1">
        <v>7.1611149999999998E-2</v>
      </c>
      <c r="H391" s="1"/>
      <c r="I391" s="1"/>
      <c r="J391" s="1"/>
      <c r="K391" s="1"/>
    </row>
    <row r="392" spans="3:11" x14ac:dyDescent="0.3">
      <c r="C392" s="1"/>
      <c r="D392" s="1">
        <v>2.2549999999999999</v>
      </c>
      <c r="E392" s="1">
        <v>0.78490384000000002</v>
      </c>
      <c r="F392" s="1">
        <v>7.1580409999999997E-2</v>
      </c>
      <c r="G392" s="1">
        <v>7.1482959999999998E-2</v>
      </c>
      <c r="H392" s="1"/>
      <c r="I392" s="1"/>
      <c r="J392" s="1"/>
      <c r="K392" s="1"/>
    </row>
    <row r="393" spans="3:11" x14ac:dyDescent="0.3">
      <c r="C393" s="1"/>
      <c r="D393" s="1">
        <v>2.2599999999999998</v>
      </c>
      <c r="E393" s="1">
        <v>0.78613887999999998</v>
      </c>
      <c r="F393" s="1">
        <v>7.1730820000000001E-2</v>
      </c>
      <c r="G393" s="1">
        <v>7.1806369999999994E-2</v>
      </c>
      <c r="H393" s="1"/>
      <c r="I393" s="1"/>
      <c r="J393" s="1"/>
      <c r="K393" s="1"/>
    </row>
    <row r="394" spans="3:11" x14ac:dyDescent="0.3">
      <c r="C394" s="1"/>
      <c r="D394" s="1">
        <v>2.2650000000000001</v>
      </c>
      <c r="E394" s="1">
        <v>0.78712703000000006</v>
      </c>
      <c r="F394" s="1">
        <v>7.1732279999999995E-2</v>
      </c>
      <c r="G394" s="1">
        <v>7.1609949999999992E-2</v>
      </c>
      <c r="H394" s="1"/>
      <c r="I394" s="1"/>
      <c r="J394" s="1"/>
      <c r="K394" s="1"/>
    </row>
    <row r="395" spans="3:11" x14ac:dyDescent="0.3">
      <c r="C395" s="1"/>
      <c r="D395" s="1">
        <v>2.27</v>
      </c>
      <c r="E395" s="1">
        <v>0.78805323999999999</v>
      </c>
      <c r="F395" s="1">
        <v>7.1805149999999998E-2</v>
      </c>
      <c r="G395" s="1">
        <v>7.1832359999999998E-2</v>
      </c>
      <c r="H395" s="1"/>
      <c r="I395" s="1"/>
      <c r="J395" s="1"/>
      <c r="K395" s="1"/>
    </row>
    <row r="396" spans="3:11" x14ac:dyDescent="0.3">
      <c r="C396" s="1"/>
      <c r="D396" s="1">
        <v>2.2749999999999999</v>
      </c>
      <c r="E396" s="1">
        <v>0.78898656</v>
      </c>
      <c r="F396" s="1">
        <v>7.1937970000000004E-2</v>
      </c>
      <c r="G396" s="1">
        <v>7.1914619999999999E-2</v>
      </c>
      <c r="H396" s="1"/>
      <c r="I396" s="1"/>
      <c r="J396" s="1"/>
      <c r="K396" s="1"/>
    </row>
    <row r="397" spans="3:11" x14ac:dyDescent="0.3">
      <c r="C397" s="1"/>
      <c r="D397" s="1">
        <v>2.2799999999999998</v>
      </c>
      <c r="E397" s="1">
        <v>0.79026962000000001</v>
      </c>
      <c r="F397" s="1">
        <v>7.194086999999999E-2</v>
      </c>
      <c r="G397" s="1">
        <v>7.2202920000000004E-2</v>
      </c>
      <c r="H397" s="1"/>
      <c r="I397" s="1"/>
      <c r="J397" s="1"/>
      <c r="K397" s="1"/>
    </row>
    <row r="398" spans="3:11" x14ac:dyDescent="0.3">
      <c r="C398" s="1"/>
      <c r="D398" s="1">
        <v>2.2850000000000001</v>
      </c>
      <c r="E398" s="1">
        <v>0.79105987</v>
      </c>
      <c r="F398" s="1">
        <v>7.2208870000000008E-2</v>
      </c>
      <c r="G398" s="1">
        <v>7.2107390000000007E-2</v>
      </c>
      <c r="H398" s="1"/>
      <c r="I398" s="1"/>
      <c r="J398" s="1"/>
      <c r="K398" s="1"/>
    </row>
    <row r="399" spans="3:11" x14ac:dyDescent="0.3">
      <c r="C399" s="1"/>
      <c r="D399" s="1">
        <v>2.29</v>
      </c>
      <c r="E399" s="1">
        <v>0.79166663000000004</v>
      </c>
      <c r="F399" s="1">
        <v>7.1947650000000002E-2</v>
      </c>
      <c r="G399" s="1">
        <v>7.1943069999999998E-2</v>
      </c>
      <c r="H399" s="1"/>
      <c r="I399" s="1"/>
      <c r="J399" s="1"/>
      <c r="K399" s="1"/>
    </row>
    <row r="400" spans="3:11" x14ac:dyDescent="0.3">
      <c r="C400" s="1"/>
      <c r="D400" s="1">
        <v>2.2949999999999999</v>
      </c>
      <c r="E400" s="1">
        <v>0.79232237999999999</v>
      </c>
      <c r="F400" s="1">
        <v>7.1994959999999997E-2</v>
      </c>
      <c r="G400" s="1">
        <v>7.1981249999999997E-2</v>
      </c>
      <c r="H400" s="1"/>
      <c r="I400" s="1"/>
      <c r="J400" s="1"/>
      <c r="K400" s="1"/>
    </row>
    <row r="401" spans="3:11" x14ac:dyDescent="0.3">
      <c r="C401" s="1"/>
      <c r="D401" s="1">
        <v>2.2999999999999998</v>
      </c>
      <c r="E401" s="1">
        <v>0.79288831000000004</v>
      </c>
      <c r="F401" s="1">
        <v>7.2103109999999998E-2</v>
      </c>
      <c r="G401" s="1">
        <v>7.2235129999999995E-2</v>
      </c>
      <c r="H401" s="1"/>
      <c r="I401" s="1"/>
      <c r="J401" s="1"/>
      <c r="K401" s="1"/>
    </row>
    <row r="402" spans="3:11" x14ac:dyDescent="0.3">
      <c r="C402" s="1"/>
      <c r="D402" s="1">
        <v>2.3050000000000002</v>
      </c>
      <c r="E402" s="1">
        <v>0.79333240999999999</v>
      </c>
      <c r="F402" s="1">
        <v>7.2155110000000008E-2</v>
      </c>
      <c r="G402" s="1">
        <v>7.2327790000000003E-2</v>
      </c>
      <c r="H402" s="1"/>
      <c r="I402" s="1"/>
      <c r="J402" s="1"/>
      <c r="K402" s="1"/>
    </row>
    <row r="403" spans="3:11" x14ac:dyDescent="0.3">
      <c r="C403" s="1"/>
      <c r="D403" s="1">
        <v>2.31</v>
      </c>
      <c r="E403" s="1">
        <v>0.79353538999999995</v>
      </c>
      <c r="F403" s="1">
        <v>7.2287240000000003E-2</v>
      </c>
      <c r="G403" s="1">
        <v>7.2304000000000007E-2</v>
      </c>
      <c r="H403" s="1"/>
      <c r="I403" s="1"/>
      <c r="J403" s="1"/>
      <c r="K403" s="1"/>
    </row>
    <row r="404" spans="3:11" x14ac:dyDescent="0.3">
      <c r="C404" s="1"/>
      <c r="D404" s="1">
        <v>2.3149999999999999</v>
      </c>
      <c r="E404" s="1">
        <v>0.79478458000000007</v>
      </c>
      <c r="F404" s="1">
        <v>7.2117310000000004E-2</v>
      </c>
      <c r="G404" s="1">
        <v>7.2484979999999991E-2</v>
      </c>
      <c r="H404" s="1"/>
      <c r="I404" s="1"/>
      <c r="J404" s="1"/>
      <c r="K404" s="1"/>
    </row>
    <row r="405" spans="3:11" x14ac:dyDescent="0.3">
      <c r="C405" s="1"/>
      <c r="D405" s="1">
        <v>2.3199999999999998</v>
      </c>
      <c r="E405" s="1">
        <v>0.79519245999999999</v>
      </c>
      <c r="F405" s="1">
        <v>7.2338559999999996E-2</v>
      </c>
      <c r="G405" s="1">
        <v>7.2116130000000001E-2</v>
      </c>
      <c r="H405" s="1"/>
      <c r="I405" s="1"/>
      <c r="J405" s="1"/>
      <c r="K405" s="1"/>
    </row>
    <row r="406" spans="3:11" x14ac:dyDescent="0.3">
      <c r="C406" s="1"/>
      <c r="D406" s="1">
        <v>2.3250000000000002</v>
      </c>
      <c r="E406" s="1">
        <v>0.79591502000000003</v>
      </c>
      <c r="F406" s="1">
        <v>7.2185739999999998E-2</v>
      </c>
      <c r="G406" s="1">
        <v>7.2406990000000004E-2</v>
      </c>
      <c r="H406" s="1"/>
      <c r="I406" s="1"/>
      <c r="J406" s="1"/>
      <c r="K406" s="1"/>
    </row>
    <row r="407" spans="3:11" x14ac:dyDescent="0.3">
      <c r="C407" s="1"/>
      <c r="D407" s="1">
        <v>2.33</v>
      </c>
      <c r="E407" s="1">
        <v>0.79575996999999998</v>
      </c>
      <c r="F407" s="1">
        <v>7.2100369999999997E-2</v>
      </c>
      <c r="G407" s="1">
        <v>7.2119320000000001E-2</v>
      </c>
      <c r="H407" s="1"/>
      <c r="I407" s="1"/>
      <c r="J407" s="1"/>
      <c r="K407" s="1"/>
    </row>
    <row r="408" spans="3:11" x14ac:dyDescent="0.3">
      <c r="C408" s="1"/>
      <c r="D408" s="1">
        <v>2.335</v>
      </c>
      <c r="E408" s="1">
        <v>0.79637608000000004</v>
      </c>
      <c r="F408" s="1">
        <v>7.2490289999999999E-2</v>
      </c>
      <c r="G408" s="1">
        <v>7.2388850000000005E-2</v>
      </c>
      <c r="H408" s="1"/>
      <c r="I408" s="1"/>
      <c r="J408" s="1"/>
      <c r="K408" s="1"/>
    </row>
    <row r="409" spans="3:11" x14ac:dyDescent="0.3">
      <c r="C409" s="1"/>
      <c r="D409" s="1">
        <v>2.34</v>
      </c>
      <c r="E409" s="1">
        <v>0.79650948999999993</v>
      </c>
      <c r="F409" s="1">
        <v>7.2304740000000006E-2</v>
      </c>
      <c r="G409" s="1">
        <v>7.2318969999999996E-2</v>
      </c>
      <c r="H409" s="1"/>
      <c r="I409" s="1"/>
      <c r="J409" s="1"/>
      <c r="K409" s="1"/>
    </row>
    <row r="410" spans="3:11" x14ac:dyDescent="0.3">
      <c r="C410" s="1"/>
      <c r="D410" s="1">
        <v>2.3450000000000002</v>
      </c>
      <c r="E410" s="1">
        <v>0.79667465000000004</v>
      </c>
      <c r="F410" s="1">
        <v>7.2290069999999998E-2</v>
      </c>
      <c r="G410" s="1">
        <v>7.2405659999999997E-2</v>
      </c>
      <c r="H410" s="1"/>
      <c r="I410" s="1"/>
      <c r="J410" s="1"/>
      <c r="K410" s="1"/>
    </row>
    <row r="411" spans="3:11" x14ac:dyDescent="0.3">
      <c r="C411" s="1"/>
      <c r="D411" s="1">
        <v>2.35</v>
      </c>
      <c r="E411" s="1">
        <v>0.79637427999999999</v>
      </c>
      <c r="F411" s="1">
        <v>7.1783420000000001E-2</v>
      </c>
      <c r="G411" s="1">
        <v>7.2265269999999993E-2</v>
      </c>
      <c r="H411" s="1"/>
      <c r="I411" s="1"/>
      <c r="J411" s="1"/>
      <c r="K411" s="1"/>
    </row>
    <row r="412" spans="3:11" x14ac:dyDescent="0.3">
      <c r="C412" s="1"/>
      <c r="D412" s="1">
        <v>2.355</v>
      </c>
      <c r="E412" s="1">
        <v>0.79701490000000008</v>
      </c>
      <c r="F412" s="1">
        <v>7.2082339999999995E-2</v>
      </c>
      <c r="G412" s="1">
        <v>7.1834839999999997E-2</v>
      </c>
      <c r="H412" s="1"/>
      <c r="I412" s="1"/>
      <c r="J412" s="1"/>
      <c r="K412" s="1"/>
    </row>
    <row r="413" spans="3:11" x14ac:dyDescent="0.3">
      <c r="C413" s="1"/>
      <c r="D413" s="1">
        <v>2.36</v>
      </c>
      <c r="E413" s="1">
        <v>0.79678228000000006</v>
      </c>
      <c r="F413" s="1">
        <v>7.2216799999999998E-2</v>
      </c>
      <c r="G413" s="1">
        <v>7.2069910000000001E-2</v>
      </c>
      <c r="H413" s="1"/>
      <c r="I413" s="1"/>
      <c r="J413" s="1"/>
      <c r="K413" s="1"/>
    </row>
    <row r="414" spans="3:11" x14ac:dyDescent="0.3">
      <c r="C414" s="1"/>
      <c r="D414" s="1">
        <v>2.3650000000000002</v>
      </c>
      <c r="E414" s="1">
        <v>0.7964432600000001</v>
      </c>
      <c r="F414" s="1">
        <v>7.1971839999999995E-2</v>
      </c>
      <c r="G414" s="1">
        <v>7.1639830000000002E-2</v>
      </c>
      <c r="H414" s="1"/>
      <c r="I414" s="1"/>
      <c r="J414" s="1"/>
      <c r="K414" s="1"/>
    </row>
    <row r="415" spans="3:11" x14ac:dyDescent="0.3">
      <c r="C415" s="1"/>
      <c r="D415" s="1">
        <v>2.37</v>
      </c>
      <c r="E415" s="1">
        <v>0.79635266000000005</v>
      </c>
      <c r="F415" s="1">
        <v>7.203445E-2</v>
      </c>
      <c r="G415" s="1">
        <v>7.1881970000000003E-2</v>
      </c>
      <c r="H415" s="1"/>
      <c r="I415" s="1"/>
      <c r="J415" s="1"/>
      <c r="K415" s="1"/>
    </row>
    <row r="416" spans="3:11" x14ac:dyDescent="0.3">
      <c r="C416" s="1"/>
      <c r="D416" s="1">
        <v>2.375</v>
      </c>
      <c r="E416" s="1">
        <v>0.79554055000000001</v>
      </c>
      <c r="F416" s="1">
        <v>7.1862560000000006E-2</v>
      </c>
      <c r="G416" s="1">
        <v>7.1939240000000002E-2</v>
      </c>
      <c r="H416" s="1"/>
      <c r="I416" s="1"/>
      <c r="J416" s="1"/>
      <c r="K416" s="1"/>
    </row>
    <row r="417" spans="3:11" x14ac:dyDescent="0.3">
      <c r="C417" s="1"/>
      <c r="D417" s="1">
        <v>2.38</v>
      </c>
      <c r="E417" s="1">
        <v>0.79547614999999994</v>
      </c>
      <c r="F417" s="1">
        <v>7.190444E-2</v>
      </c>
      <c r="G417" s="1">
        <v>7.1571410000000002E-2</v>
      </c>
      <c r="H417" s="1"/>
      <c r="I417" s="1"/>
      <c r="J417" s="1"/>
      <c r="K417" s="1"/>
    </row>
    <row r="418" spans="3:11" x14ac:dyDescent="0.3">
      <c r="C418" s="1"/>
      <c r="D418" s="1">
        <v>2.3849999999999998</v>
      </c>
      <c r="E418" s="1">
        <v>0.79545606000000002</v>
      </c>
      <c r="F418" s="1">
        <v>7.164893E-2</v>
      </c>
      <c r="G418" s="1">
        <v>7.1759169999999997E-2</v>
      </c>
      <c r="H418" s="1"/>
      <c r="I418" s="1"/>
      <c r="J418" s="1"/>
      <c r="K418" s="1"/>
    </row>
    <row r="419" spans="3:11" x14ac:dyDescent="0.3">
      <c r="C419" s="1"/>
      <c r="D419" s="1">
        <v>2.39</v>
      </c>
      <c r="E419" s="1">
        <v>0.79515979000000003</v>
      </c>
      <c r="F419" s="1">
        <v>7.1918300000000004E-2</v>
      </c>
      <c r="G419" s="1">
        <v>7.1522730000000007E-2</v>
      </c>
      <c r="H419" s="1"/>
      <c r="I419" s="1"/>
      <c r="J419" s="1"/>
      <c r="K419" s="1"/>
    </row>
    <row r="420" spans="3:11" x14ac:dyDescent="0.3">
      <c r="C420" s="1"/>
      <c r="D420" s="1">
        <v>2.395</v>
      </c>
      <c r="E420" s="1">
        <v>0.79483114999999993</v>
      </c>
      <c r="F420" s="1">
        <v>7.1521410000000007E-2</v>
      </c>
      <c r="G420" s="1">
        <v>7.2007299999999996E-2</v>
      </c>
      <c r="H420" s="1"/>
      <c r="I420" s="1"/>
      <c r="J420" s="1"/>
      <c r="K420" s="1"/>
    </row>
    <row r="421" spans="3:11" x14ac:dyDescent="0.3">
      <c r="C421" s="1"/>
      <c r="D421" s="1">
        <v>2.4</v>
      </c>
      <c r="E421" s="1">
        <v>0.79408741000000005</v>
      </c>
      <c r="F421" s="1">
        <v>7.1529109999999993E-2</v>
      </c>
      <c r="G421" s="1">
        <v>7.0961549999999998E-2</v>
      </c>
      <c r="H421" s="1"/>
      <c r="I421" s="1"/>
      <c r="J421" s="1"/>
      <c r="K421" s="1"/>
    </row>
    <row r="422" spans="3:11" x14ac:dyDescent="0.3">
      <c r="C422" s="1"/>
      <c r="D422" s="1">
        <v>2.4049999999999998</v>
      </c>
      <c r="E422" s="1">
        <v>0.79304942</v>
      </c>
      <c r="F422" s="1">
        <v>7.146624E-2</v>
      </c>
      <c r="G422" s="1">
        <v>7.1625750000000002E-2</v>
      </c>
      <c r="H422" s="1"/>
      <c r="I422" s="1"/>
      <c r="J422" s="1"/>
      <c r="K422" s="1"/>
    </row>
    <row r="423" spans="3:11" x14ac:dyDescent="0.3">
      <c r="C423" s="1"/>
      <c r="D423" s="1">
        <v>2.41</v>
      </c>
      <c r="E423" s="1">
        <v>0.79263538</v>
      </c>
      <c r="F423" s="1">
        <v>7.1496329999999997E-2</v>
      </c>
      <c r="G423" s="1">
        <v>7.163731000000001E-2</v>
      </c>
      <c r="H423" s="1"/>
      <c r="I423" s="1"/>
      <c r="J423" s="1"/>
      <c r="K423" s="1"/>
    </row>
    <row r="424" spans="3:11" x14ac:dyDescent="0.3">
      <c r="C424" s="1"/>
      <c r="D424" s="1">
        <v>2.415</v>
      </c>
      <c r="E424" s="1">
        <v>0.79173120999999991</v>
      </c>
      <c r="F424" s="1">
        <v>7.0822029999999994E-2</v>
      </c>
      <c r="G424" s="1">
        <v>7.148968E-2</v>
      </c>
      <c r="H424" s="1"/>
      <c r="I424" s="1"/>
      <c r="J424" s="1"/>
      <c r="K424" s="1"/>
    </row>
    <row r="425" spans="3:11" x14ac:dyDescent="0.3">
      <c r="C425" s="1"/>
      <c r="D425" s="1">
        <v>2.42</v>
      </c>
      <c r="E425" s="1">
        <v>0.79100119000000002</v>
      </c>
      <c r="F425" s="1">
        <v>7.0459090000000002E-2</v>
      </c>
      <c r="G425" s="1">
        <v>7.160619E-2</v>
      </c>
      <c r="H425" s="1"/>
      <c r="I425" s="1"/>
      <c r="J425" s="1"/>
      <c r="K425" s="1"/>
    </row>
    <row r="426" spans="3:11" x14ac:dyDescent="0.3">
      <c r="C426" s="1"/>
      <c r="D426" s="1">
        <v>2.4249999999999998</v>
      </c>
      <c r="E426" s="1">
        <v>0.7893516599999999</v>
      </c>
      <c r="F426" s="1">
        <v>7.1145230000000004E-2</v>
      </c>
      <c r="G426" s="1">
        <v>7.1355879999999997E-2</v>
      </c>
      <c r="H426" s="1"/>
      <c r="I426" s="1"/>
      <c r="J426" s="1"/>
      <c r="K426" s="1"/>
    </row>
    <row r="427" spans="3:11" x14ac:dyDescent="0.3">
      <c r="C427" s="1"/>
      <c r="D427" s="1">
        <v>2.4300000000000002</v>
      </c>
      <c r="E427" s="1">
        <v>0.78889174999999989</v>
      </c>
      <c r="F427" s="1">
        <v>7.0662119999999995E-2</v>
      </c>
      <c r="G427" s="1">
        <v>7.0315969999999992E-2</v>
      </c>
      <c r="H427" s="1"/>
      <c r="I427" s="1"/>
      <c r="J427" s="1"/>
      <c r="K427" s="1"/>
    </row>
    <row r="428" spans="3:11" x14ac:dyDescent="0.3">
      <c r="C428" s="1"/>
      <c r="D428" s="1">
        <v>2.4350000000000001</v>
      </c>
      <c r="E428" s="1">
        <v>0.78657701999999996</v>
      </c>
      <c r="F428" s="1">
        <v>7.0957279999999998E-2</v>
      </c>
      <c r="G428" s="1">
        <v>7.0637969999999994E-2</v>
      </c>
      <c r="H428" s="1"/>
      <c r="I428" s="1"/>
      <c r="J428" s="1"/>
      <c r="K428" s="1"/>
    </row>
    <row r="429" spans="3:11" x14ac:dyDescent="0.3">
      <c r="C429" s="1"/>
      <c r="D429" s="1">
        <v>2.44</v>
      </c>
      <c r="E429" s="1">
        <v>0.78603398000000002</v>
      </c>
      <c r="F429" s="1">
        <v>7.0073700000000003E-2</v>
      </c>
      <c r="G429" s="1">
        <v>7.0527880000000001E-2</v>
      </c>
      <c r="H429" s="1"/>
      <c r="I429" s="1"/>
      <c r="J429" s="1"/>
      <c r="K429" s="1"/>
    </row>
    <row r="430" spans="3:11" x14ac:dyDescent="0.3">
      <c r="C430" s="1"/>
      <c r="D430" s="1">
        <v>2.4449999999999998</v>
      </c>
      <c r="E430" s="1">
        <v>0.78440312000000001</v>
      </c>
      <c r="F430" s="1">
        <v>7.0091010000000009E-2</v>
      </c>
      <c r="G430" s="1">
        <v>6.9928500000000005E-2</v>
      </c>
      <c r="H430" s="1"/>
      <c r="I430" s="1"/>
      <c r="J430" s="1"/>
      <c r="K430" s="1"/>
    </row>
    <row r="431" spans="3:11" x14ac:dyDescent="0.3">
      <c r="C431" s="1"/>
      <c r="D431" s="1">
        <v>2.4500000000000002</v>
      </c>
      <c r="E431" s="1">
        <v>0.78348678000000005</v>
      </c>
      <c r="F431" s="1">
        <v>7.0639439999999998E-2</v>
      </c>
      <c r="G431" s="1">
        <v>7.0885569999999995E-2</v>
      </c>
      <c r="H431" s="1"/>
      <c r="I431" s="1"/>
      <c r="J431" s="1"/>
      <c r="K431" s="1"/>
    </row>
    <row r="432" spans="3:11" x14ac:dyDescent="0.3">
      <c r="C432" s="1"/>
      <c r="D432" s="1">
        <v>2.4550000000000001</v>
      </c>
      <c r="E432" s="1">
        <v>0.7817837299999999</v>
      </c>
      <c r="F432" s="1">
        <v>6.9831580000000004E-2</v>
      </c>
      <c r="G432" s="1">
        <v>7.0626400000000006E-2</v>
      </c>
      <c r="H432" s="1"/>
      <c r="I432" s="1"/>
      <c r="J432" s="1"/>
      <c r="K432" s="1"/>
    </row>
    <row r="433" spans="3:11" x14ac:dyDescent="0.3">
      <c r="C433" s="1"/>
      <c r="D433" s="1">
        <v>2.46</v>
      </c>
      <c r="E433" s="1">
        <v>0.78009759999999995</v>
      </c>
      <c r="F433" s="1">
        <v>7.123357000000001E-2</v>
      </c>
      <c r="G433" s="1">
        <v>7.0114109999999993E-2</v>
      </c>
      <c r="H433" s="1"/>
      <c r="I433" s="1"/>
      <c r="J433" s="1"/>
      <c r="K433" s="1"/>
    </row>
    <row r="434" spans="3:11" x14ac:dyDescent="0.3">
      <c r="C434" s="1"/>
      <c r="D434" s="1">
        <v>2.4649999999999999</v>
      </c>
      <c r="E434" s="1">
        <v>0.77861062000000003</v>
      </c>
      <c r="F434" s="1">
        <v>7.1091959999999996E-2</v>
      </c>
      <c r="G434" s="1">
        <v>6.9328909999999994E-2</v>
      </c>
      <c r="H434" s="1"/>
      <c r="I434" s="1"/>
      <c r="J434" s="1"/>
      <c r="K434" s="1"/>
    </row>
    <row r="435" spans="3:11" x14ac:dyDescent="0.3">
      <c r="C435" s="1"/>
      <c r="D435" s="1">
        <v>2.4700000000000002</v>
      </c>
      <c r="E435" s="1">
        <v>0.7780086799999999</v>
      </c>
      <c r="F435" s="1">
        <v>7.001665E-2</v>
      </c>
      <c r="G435" s="1">
        <v>7.0708869999999993E-2</v>
      </c>
      <c r="H435" s="1"/>
      <c r="I435" s="1"/>
      <c r="J435" s="1"/>
      <c r="K435" s="1"/>
    </row>
    <row r="436" spans="3:11" x14ac:dyDescent="0.3">
      <c r="C436" s="1"/>
      <c r="D436" s="1">
        <v>2.4750000000000001</v>
      </c>
      <c r="E436" s="1">
        <v>0.77571965000000009</v>
      </c>
      <c r="F436" s="1">
        <v>7.1018289999999998E-2</v>
      </c>
      <c r="G436" s="1">
        <v>7.0064799999999997E-2</v>
      </c>
      <c r="H436" s="1"/>
      <c r="I436" s="1"/>
      <c r="J436" s="1"/>
      <c r="K436" s="1"/>
    </row>
    <row r="437" spans="3:11" x14ac:dyDescent="0.3">
      <c r="C437" s="1"/>
      <c r="D437" s="1">
        <v>2.48</v>
      </c>
      <c r="E437" s="1">
        <v>0.7764121799999999</v>
      </c>
      <c r="F437" s="1">
        <v>6.9028829999999999E-2</v>
      </c>
      <c r="G437" s="1">
        <v>6.9313109999999997E-2</v>
      </c>
      <c r="H437" s="1"/>
      <c r="I437" s="1"/>
      <c r="J437" s="1"/>
      <c r="K437" s="1"/>
    </row>
    <row r="438" spans="3:11" x14ac:dyDescent="0.3">
      <c r="C438" s="1"/>
      <c r="D438" s="1">
        <v>2.4849999999999999</v>
      </c>
      <c r="E438" s="1">
        <v>0.77572098999999994</v>
      </c>
      <c r="F438" s="1">
        <v>7.0367899999999997E-2</v>
      </c>
      <c r="G438" s="1">
        <v>6.8366879999999991E-2</v>
      </c>
      <c r="H438" s="1"/>
      <c r="I438" s="1"/>
      <c r="J438" s="1"/>
      <c r="K438" s="1"/>
    </row>
    <row r="439" spans="3:11" x14ac:dyDescent="0.3">
      <c r="C439" s="1"/>
      <c r="D439" s="1">
        <v>2.4900000000000002</v>
      </c>
      <c r="E439" s="1">
        <v>0.77311768000000003</v>
      </c>
      <c r="F439" s="1">
        <v>7.0570729999999998E-2</v>
      </c>
      <c r="G439" s="1">
        <v>7.1564840000000005E-2</v>
      </c>
      <c r="H439" s="1"/>
      <c r="I439" s="1"/>
      <c r="J439" s="1"/>
      <c r="K439" s="1"/>
    </row>
    <row r="440" spans="3:11" x14ac:dyDescent="0.3">
      <c r="C440" s="1"/>
      <c r="D440" s="1">
        <v>2.4950000000000001</v>
      </c>
      <c r="E440" s="1">
        <v>0.77129053000000003</v>
      </c>
      <c r="F440" s="1">
        <v>7.1750709999999995E-2</v>
      </c>
      <c r="G440" s="1">
        <v>7.209227E-2</v>
      </c>
      <c r="H440" s="1"/>
      <c r="I440" s="1"/>
      <c r="J440" s="1"/>
      <c r="K440" s="1"/>
    </row>
    <row r="441" spans="3:11" x14ac:dyDescent="0.3">
      <c r="C441" s="1"/>
      <c r="D441" s="1">
        <v>2.5</v>
      </c>
      <c r="E441" s="1">
        <v>0.77375399999999994</v>
      </c>
      <c r="F441" s="1">
        <v>7.3345590000000002E-2</v>
      </c>
      <c r="G441" s="1">
        <v>6.9816799999999998E-2</v>
      </c>
      <c r="H441" s="1"/>
      <c r="I441" s="1"/>
      <c r="J441" s="1"/>
      <c r="K441" s="1"/>
    </row>
    <row r="442" spans="3:11" x14ac:dyDescent="0.3">
      <c r="D442" s="1"/>
      <c r="E442" s="1"/>
      <c r="F442" s="1"/>
      <c r="G442" s="1"/>
      <c r="H442" s="1"/>
      <c r="I442" s="1"/>
      <c r="J442" s="1"/>
      <c r="K442" s="1"/>
    </row>
    <row r="443" spans="3:11" x14ac:dyDescent="0.3">
      <c r="D443" s="1"/>
      <c r="E443" s="1"/>
      <c r="F443" s="1"/>
      <c r="G443" s="1"/>
      <c r="H443" s="1"/>
      <c r="I443" s="1"/>
      <c r="J443" s="1"/>
      <c r="K443" s="1"/>
    </row>
    <row r="444" spans="3:11" x14ac:dyDescent="0.3">
      <c r="D444" s="1"/>
      <c r="E444" s="1"/>
      <c r="F444" s="1"/>
      <c r="G444" s="1"/>
      <c r="H444" s="1"/>
      <c r="I444" s="1"/>
      <c r="J444" s="1"/>
      <c r="K444" s="1"/>
    </row>
    <row r="445" spans="3:11" x14ac:dyDescent="0.3">
      <c r="D445" s="1"/>
      <c r="E445" s="1"/>
      <c r="F445" s="1"/>
      <c r="G445" s="1"/>
      <c r="H445" s="1"/>
      <c r="I445" s="1"/>
      <c r="J445" s="1"/>
      <c r="K445" s="1"/>
    </row>
    <row r="446" spans="3:11" x14ac:dyDescent="0.3">
      <c r="D446" s="1"/>
      <c r="E446" s="1"/>
      <c r="F446" s="1"/>
      <c r="G446" s="1"/>
      <c r="H446" s="1"/>
      <c r="I446" s="1"/>
      <c r="J446" s="1"/>
      <c r="K446" s="1"/>
    </row>
    <row r="447" spans="3:11" x14ac:dyDescent="0.3">
      <c r="D447" s="1"/>
      <c r="E447" s="1"/>
      <c r="F447" s="1"/>
      <c r="G447" s="1"/>
      <c r="H447" s="1"/>
      <c r="I447" s="1"/>
      <c r="J447" s="1"/>
      <c r="K447" s="1"/>
    </row>
    <row r="448" spans="3:11" x14ac:dyDescent="0.3">
      <c r="D448" s="1"/>
      <c r="E448" s="1"/>
      <c r="F448" s="1"/>
      <c r="G448" s="1"/>
      <c r="H448" s="1"/>
      <c r="I448" s="1"/>
      <c r="J448" s="1"/>
      <c r="K448" s="1"/>
    </row>
    <row r="449" spans="4:11" x14ac:dyDescent="0.3">
      <c r="D449" s="1"/>
      <c r="E449" s="1"/>
      <c r="F449" s="1"/>
      <c r="G449" s="1"/>
      <c r="H449" s="1"/>
      <c r="I449" s="1"/>
      <c r="J449" s="1"/>
      <c r="K449" s="1"/>
    </row>
    <row r="450" spans="4:11" x14ac:dyDescent="0.3">
      <c r="D450" s="1"/>
      <c r="E450" s="1"/>
      <c r="F450" s="1"/>
      <c r="G450" s="1"/>
      <c r="H450" s="1"/>
      <c r="I450" s="1"/>
      <c r="J450" s="1"/>
      <c r="K450" s="1"/>
    </row>
    <row r="451" spans="4:11" x14ac:dyDescent="0.3">
      <c r="D451" s="1"/>
      <c r="E451" s="1"/>
      <c r="F451" s="1"/>
      <c r="G451" s="1"/>
      <c r="H451" s="1"/>
      <c r="I451" s="1"/>
      <c r="J451" s="1"/>
      <c r="K451" s="1"/>
    </row>
    <row r="452" spans="4:11" x14ac:dyDescent="0.3">
      <c r="D452" s="1"/>
      <c r="E452" s="1"/>
      <c r="F452" s="1"/>
      <c r="G452" s="1"/>
      <c r="H452" s="1"/>
      <c r="I452" s="1"/>
      <c r="J452" s="1"/>
      <c r="K452" s="1"/>
    </row>
    <row r="453" spans="4:11" x14ac:dyDescent="0.3">
      <c r="D453" s="1"/>
      <c r="E453" s="1"/>
      <c r="F453" s="1"/>
      <c r="G453" s="1"/>
      <c r="H453" s="1"/>
      <c r="I453" s="1"/>
      <c r="J453" s="1"/>
      <c r="K453" s="1"/>
    </row>
    <row r="454" spans="4:11" x14ac:dyDescent="0.3">
      <c r="D454" s="1"/>
      <c r="E454" s="1"/>
      <c r="F454" s="1"/>
      <c r="G454" s="1"/>
      <c r="H454" s="1"/>
      <c r="I454" s="1"/>
      <c r="J454" s="1"/>
      <c r="K454" s="1"/>
    </row>
    <row r="455" spans="4:11" x14ac:dyDescent="0.3">
      <c r="D455" s="1"/>
      <c r="E455" s="1"/>
      <c r="F455" s="1"/>
      <c r="G455" s="1"/>
      <c r="H455" s="1"/>
      <c r="I455" s="1"/>
      <c r="J455" s="1"/>
      <c r="K455" s="1"/>
    </row>
    <row r="456" spans="4:11" x14ac:dyDescent="0.3">
      <c r="D456" s="1"/>
      <c r="E456" s="1"/>
      <c r="F456" s="1"/>
      <c r="G456" s="1"/>
      <c r="H456" s="1"/>
      <c r="I456" s="1"/>
      <c r="J456" s="1"/>
      <c r="K456" s="1"/>
    </row>
    <row r="457" spans="4:11" x14ac:dyDescent="0.3">
      <c r="D457" s="1"/>
      <c r="E457" s="1"/>
      <c r="F457" s="1"/>
      <c r="G457" s="1"/>
      <c r="H457" s="1"/>
      <c r="I457" s="1"/>
      <c r="J457" s="1"/>
      <c r="K457" s="1"/>
    </row>
    <row r="458" spans="4:11" x14ac:dyDescent="0.3">
      <c r="D458" s="1"/>
      <c r="E458" s="1"/>
      <c r="F458" s="1"/>
      <c r="G458" s="1"/>
      <c r="H458" s="1"/>
      <c r="I458" s="1"/>
      <c r="J458" s="1"/>
      <c r="K458" s="1"/>
    </row>
    <row r="459" spans="4:11" x14ac:dyDescent="0.3">
      <c r="D459" s="1"/>
      <c r="E459" s="1"/>
      <c r="F459" s="1"/>
      <c r="G459" s="1"/>
      <c r="H459" s="1"/>
      <c r="I459" s="1"/>
      <c r="J459" s="1"/>
      <c r="K459" s="1"/>
    </row>
    <row r="460" spans="4:11" x14ac:dyDescent="0.3">
      <c r="D460" s="1"/>
      <c r="E460" s="1"/>
      <c r="F460" s="1"/>
      <c r="G460" s="1"/>
      <c r="H460" s="1"/>
      <c r="I460" s="1"/>
      <c r="J460" s="1"/>
      <c r="K460" s="1"/>
    </row>
    <row r="461" spans="4:11" x14ac:dyDescent="0.3">
      <c r="D461" s="1"/>
      <c r="E461" s="1"/>
      <c r="F461" s="1"/>
      <c r="G461" s="1"/>
      <c r="H461" s="1"/>
      <c r="I461" s="1"/>
      <c r="J461" s="1"/>
      <c r="K461" s="1"/>
    </row>
    <row r="462" spans="4:11" x14ac:dyDescent="0.3">
      <c r="D462" s="1"/>
      <c r="E462" s="1"/>
      <c r="F462" s="1"/>
      <c r="G462" s="1"/>
      <c r="H462" s="1"/>
      <c r="I462" s="1"/>
      <c r="J462" s="1"/>
      <c r="K462" s="1"/>
    </row>
    <row r="463" spans="4:11" x14ac:dyDescent="0.3">
      <c r="D463" s="1"/>
      <c r="E463" s="1"/>
      <c r="F463" s="1"/>
      <c r="G463" s="1"/>
      <c r="H463" s="1"/>
      <c r="I463" s="1"/>
      <c r="J463" s="1"/>
      <c r="K463" s="1"/>
    </row>
    <row r="464" spans="4:11" x14ac:dyDescent="0.3">
      <c r="D464" s="1"/>
      <c r="E464" s="1"/>
      <c r="F464" s="1"/>
      <c r="G464" s="1"/>
      <c r="H464" s="1"/>
      <c r="I464" s="1"/>
      <c r="J464" s="1"/>
      <c r="K464" s="1"/>
    </row>
    <row r="465" spans="4:11" x14ac:dyDescent="0.3">
      <c r="D465" s="1"/>
      <c r="E465" s="1"/>
      <c r="F465" s="1"/>
      <c r="G465" s="1"/>
      <c r="H465" s="1"/>
      <c r="I465" s="1"/>
      <c r="J465" s="1"/>
      <c r="K465" s="1"/>
    </row>
    <row r="466" spans="4:11" x14ac:dyDescent="0.3">
      <c r="D466" s="1"/>
      <c r="E466" s="1"/>
      <c r="F466" s="1"/>
      <c r="G466" s="1"/>
      <c r="H466" s="1"/>
      <c r="I466" s="1"/>
      <c r="J466" s="1"/>
      <c r="K466" s="1"/>
    </row>
    <row r="467" spans="4:11" x14ac:dyDescent="0.3">
      <c r="D467" s="1"/>
      <c r="E467" s="1"/>
      <c r="F467" s="1"/>
      <c r="G467" s="1"/>
      <c r="H467" s="1"/>
      <c r="I467" s="1"/>
      <c r="J467" s="1"/>
      <c r="K467" s="1"/>
    </row>
    <row r="468" spans="4:11" x14ac:dyDescent="0.3">
      <c r="D468" s="1"/>
      <c r="E468" s="1"/>
      <c r="F468" s="1"/>
      <c r="G468" s="1"/>
      <c r="H468" s="1"/>
      <c r="I468" s="1"/>
      <c r="J468" s="1"/>
      <c r="K468" s="1"/>
    </row>
    <row r="469" spans="4:11" x14ac:dyDescent="0.3">
      <c r="D469" s="1"/>
      <c r="E469" s="1"/>
      <c r="F469" s="1"/>
      <c r="G469" s="1"/>
      <c r="H469" s="1"/>
      <c r="I469" s="1"/>
      <c r="J469" s="1"/>
      <c r="K469" s="1"/>
    </row>
    <row r="470" spans="4:11" x14ac:dyDescent="0.3">
      <c r="D470" s="1"/>
      <c r="E470" s="1"/>
      <c r="F470" s="1"/>
      <c r="G470" s="1"/>
      <c r="H470" s="1"/>
      <c r="I470" s="1"/>
      <c r="J470" s="1"/>
      <c r="K470" s="1"/>
    </row>
    <row r="471" spans="4:11" x14ac:dyDescent="0.3">
      <c r="D471" s="1"/>
      <c r="E471" s="1"/>
      <c r="F471" s="1"/>
      <c r="G471" s="1"/>
      <c r="H471" s="1"/>
      <c r="I471" s="1"/>
      <c r="J471" s="1"/>
      <c r="K471" s="1"/>
    </row>
    <row r="472" spans="4:11" x14ac:dyDescent="0.3">
      <c r="D472" s="1"/>
      <c r="E472" s="1"/>
      <c r="F472" s="1"/>
      <c r="G472" s="1"/>
      <c r="H472" s="1"/>
      <c r="I472" s="1"/>
      <c r="J472" s="1"/>
      <c r="K472" s="1"/>
    </row>
    <row r="473" spans="4:11" x14ac:dyDescent="0.3">
      <c r="D473" s="1"/>
      <c r="E473" s="1"/>
      <c r="F473" s="1"/>
      <c r="G473" s="1"/>
      <c r="H473" s="1"/>
      <c r="I473" s="1"/>
      <c r="J473" s="1"/>
      <c r="K473" s="1"/>
    </row>
    <row r="474" spans="4:11" x14ac:dyDescent="0.3">
      <c r="D474" s="1"/>
      <c r="E474" s="1"/>
      <c r="F474" s="1"/>
      <c r="G474" s="1"/>
      <c r="H474" s="1"/>
      <c r="I474" s="1"/>
      <c r="J474" s="1"/>
      <c r="K474" s="1"/>
    </row>
    <row r="475" spans="4:11" x14ac:dyDescent="0.3">
      <c r="D475" s="1"/>
      <c r="E475" s="1"/>
      <c r="F475" s="1"/>
      <c r="G475" s="1"/>
      <c r="H475" s="1"/>
      <c r="I475" s="1"/>
      <c r="J475" s="1"/>
      <c r="K475" s="1"/>
    </row>
    <row r="476" spans="4:11" x14ac:dyDescent="0.3">
      <c r="D476" s="1"/>
      <c r="E476" s="1"/>
      <c r="F476" s="1"/>
      <c r="G476" s="1"/>
      <c r="H476" s="1"/>
      <c r="I476" s="1"/>
      <c r="J476" s="1"/>
      <c r="K476" s="1"/>
    </row>
    <row r="477" spans="4:11" x14ac:dyDescent="0.3">
      <c r="D477" s="1"/>
      <c r="E477" s="1"/>
      <c r="F477" s="1"/>
      <c r="G477" s="1"/>
      <c r="H477" s="1"/>
      <c r="I477" s="1"/>
      <c r="J477" s="1"/>
      <c r="K477" s="1"/>
    </row>
    <row r="478" spans="4:11" x14ac:dyDescent="0.3">
      <c r="D478" s="1"/>
      <c r="E478" s="1"/>
      <c r="F478" s="1"/>
      <c r="G478" s="1"/>
      <c r="H478" s="1"/>
      <c r="I478" s="1"/>
      <c r="J478" s="1"/>
      <c r="K478" s="1"/>
    </row>
    <row r="479" spans="4:11" x14ac:dyDescent="0.3">
      <c r="D479" s="1"/>
      <c r="E479" s="1"/>
      <c r="F479" s="1"/>
      <c r="G479" s="1"/>
      <c r="H479" s="1"/>
      <c r="I479" s="1"/>
      <c r="J479" s="1"/>
      <c r="K479" s="1"/>
    </row>
    <row r="480" spans="4:11" x14ac:dyDescent="0.3">
      <c r="D480" s="1"/>
      <c r="E480" s="1"/>
      <c r="F480" s="1"/>
      <c r="G480" s="1"/>
      <c r="H480" s="1"/>
      <c r="I480" s="1"/>
      <c r="J480" s="1"/>
      <c r="K480" s="1"/>
    </row>
    <row r="481" spans="4:11" x14ac:dyDescent="0.3">
      <c r="D481" s="1"/>
      <c r="E481" s="1"/>
      <c r="F481" s="1"/>
      <c r="G481" s="1"/>
      <c r="H481" s="1"/>
      <c r="I481" s="1"/>
      <c r="J481" s="1"/>
      <c r="K481" s="1"/>
    </row>
    <row r="482" spans="4:11" x14ac:dyDescent="0.3">
      <c r="D482" s="1"/>
      <c r="E482" s="1"/>
      <c r="F482" s="1"/>
      <c r="G482" s="1"/>
      <c r="H482" s="1"/>
      <c r="I482" s="1"/>
      <c r="J482" s="1"/>
      <c r="K482" s="1"/>
    </row>
    <row r="483" spans="4:11" x14ac:dyDescent="0.3">
      <c r="D483" s="1"/>
      <c r="E483" s="1"/>
      <c r="F483" s="1"/>
      <c r="G483" s="1"/>
      <c r="H483" s="1"/>
      <c r="I483" s="1"/>
      <c r="J483" s="1"/>
      <c r="K483" s="1"/>
    </row>
    <row r="484" spans="4:11" x14ac:dyDescent="0.3">
      <c r="D484" s="1"/>
      <c r="E484" s="1"/>
      <c r="F484" s="1"/>
      <c r="G484" s="1"/>
      <c r="H484" s="1"/>
      <c r="I484" s="1"/>
      <c r="J484" s="1"/>
      <c r="K484" s="1"/>
    </row>
    <row r="485" spans="4:11" x14ac:dyDescent="0.3">
      <c r="D485" s="1"/>
      <c r="E485" s="1"/>
      <c r="F485" s="1"/>
      <c r="G485" s="1"/>
      <c r="H485" s="1"/>
      <c r="I485" s="1"/>
      <c r="J485" s="1"/>
      <c r="K485" s="1"/>
    </row>
    <row r="486" spans="4:11" x14ac:dyDescent="0.3">
      <c r="D486" s="1"/>
      <c r="E486" s="1"/>
      <c r="F486" s="1"/>
      <c r="G486" s="1"/>
      <c r="H486" s="1"/>
      <c r="I486" s="1"/>
      <c r="J486" s="1"/>
      <c r="K486" s="1"/>
    </row>
    <row r="487" spans="4:11" x14ac:dyDescent="0.3">
      <c r="D487" s="1"/>
      <c r="E487" s="1"/>
      <c r="F487" s="1"/>
      <c r="G487" s="1"/>
      <c r="H487" s="1"/>
      <c r="I487" s="1"/>
      <c r="J487" s="1"/>
      <c r="K487" s="1"/>
    </row>
    <row r="488" spans="4:11" x14ac:dyDescent="0.3">
      <c r="D488" s="1"/>
      <c r="E488" s="1"/>
      <c r="F488" s="1"/>
      <c r="G488" s="1"/>
      <c r="H488" s="1"/>
      <c r="I488" s="1"/>
      <c r="J488" s="1"/>
      <c r="K488" s="1"/>
    </row>
    <row r="489" spans="4:11" x14ac:dyDescent="0.3">
      <c r="D489" s="1"/>
      <c r="E489" s="1"/>
      <c r="F489" s="1"/>
      <c r="G489" s="1"/>
      <c r="H489" s="1"/>
      <c r="I489" s="1"/>
      <c r="J489" s="1"/>
      <c r="K489" s="1"/>
    </row>
    <row r="490" spans="4:11" x14ac:dyDescent="0.3">
      <c r="D490" s="1"/>
      <c r="E490" s="1"/>
      <c r="F490" s="1"/>
      <c r="G490" s="1"/>
      <c r="H490" s="1"/>
      <c r="I490" s="1"/>
      <c r="J490" s="1"/>
      <c r="K490" s="1"/>
    </row>
    <row r="491" spans="4:11" x14ac:dyDescent="0.3">
      <c r="D491" s="1"/>
      <c r="E491" s="1"/>
      <c r="F491" s="1"/>
      <c r="G491" s="1"/>
      <c r="H491" s="1"/>
      <c r="I491" s="1"/>
      <c r="J491" s="1"/>
      <c r="K491" s="1"/>
    </row>
    <row r="492" spans="4:11" x14ac:dyDescent="0.3">
      <c r="D492" s="1"/>
      <c r="E492" s="1"/>
      <c r="F492" s="1"/>
      <c r="G492" s="1"/>
      <c r="H492" s="1"/>
      <c r="I492" s="1"/>
      <c r="J492" s="1"/>
      <c r="K492" s="1"/>
    </row>
    <row r="493" spans="4:11" x14ac:dyDescent="0.3">
      <c r="D493" s="1"/>
      <c r="E493" s="1"/>
      <c r="F493" s="1"/>
      <c r="G493" s="1"/>
      <c r="H493" s="1"/>
      <c r="I493" s="1"/>
      <c r="J493" s="1"/>
      <c r="K493" s="1"/>
    </row>
    <row r="494" spans="4:11" x14ac:dyDescent="0.3">
      <c r="D494" s="1"/>
      <c r="E494" s="1"/>
      <c r="F494" s="1"/>
      <c r="G494" s="1"/>
      <c r="H494" s="1"/>
      <c r="I494" s="1"/>
      <c r="J494" s="1"/>
      <c r="K494" s="1"/>
    </row>
    <row r="495" spans="4:11" x14ac:dyDescent="0.3">
      <c r="D495" s="1"/>
      <c r="E495" s="1"/>
      <c r="F495" s="1"/>
      <c r="G495" s="1"/>
      <c r="H495" s="1"/>
      <c r="I495" s="1"/>
      <c r="J495" s="1"/>
      <c r="K495" s="1"/>
    </row>
    <row r="496" spans="4:11" x14ac:dyDescent="0.3">
      <c r="D496" s="1"/>
      <c r="E496" s="1"/>
      <c r="F496" s="1"/>
      <c r="G496" s="1"/>
      <c r="H496" s="1"/>
      <c r="I496" s="1"/>
      <c r="J496" s="1"/>
      <c r="K496" s="1"/>
    </row>
    <row r="497" spans="4:11" x14ac:dyDescent="0.3">
      <c r="D497" s="1"/>
      <c r="E497" s="1"/>
      <c r="F497" s="1"/>
      <c r="G497" s="1"/>
      <c r="H497" s="1"/>
      <c r="I497" s="1"/>
      <c r="J497" s="1"/>
      <c r="K497" s="1"/>
    </row>
    <row r="498" spans="4:11" x14ac:dyDescent="0.3">
      <c r="D498" s="1"/>
      <c r="E498" s="1"/>
      <c r="F498" s="1"/>
      <c r="G498" s="1"/>
      <c r="H498" s="1"/>
      <c r="I498" s="1"/>
      <c r="J498" s="1"/>
      <c r="K498" s="1"/>
    </row>
    <row r="499" spans="4:11" x14ac:dyDescent="0.3">
      <c r="D499" s="1"/>
      <c r="E499" s="1"/>
      <c r="F499" s="1"/>
      <c r="G499" s="1"/>
      <c r="H499" s="1"/>
      <c r="I499" s="1"/>
      <c r="J499" s="1"/>
      <c r="K499" s="1"/>
    </row>
    <row r="500" spans="4:11" x14ac:dyDescent="0.3">
      <c r="D500" s="1"/>
      <c r="E500" s="1"/>
      <c r="F500" s="1"/>
      <c r="G500" s="1"/>
      <c r="H500" s="1"/>
      <c r="I500" s="1"/>
      <c r="J500" s="1"/>
      <c r="K500" s="1"/>
    </row>
    <row r="501" spans="4:11" x14ac:dyDescent="0.3">
      <c r="D501" s="1"/>
      <c r="E501" s="1"/>
      <c r="F501" s="1"/>
      <c r="G501" s="1"/>
      <c r="H501" s="1"/>
      <c r="I501" s="1"/>
      <c r="J501" s="1"/>
      <c r="K501" s="1"/>
    </row>
    <row r="502" spans="4:11" x14ac:dyDescent="0.3">
      <c r="D502" s="1"/>
      <c r="E502" s="1"/>
      <c r="F502" s="1"/>
      <c r="G502" s="1"/>
      <c r="H502" s="1"/>
      <c r="I502" s="1"/>
      <c r="J502" s="1"/>
      <c r="K502" s="1"/>
    </row>
    <row r="503" spans="4:11" x14ac:dyDescent="0.3">
      <c r="D503" s="1"/>
      <c r="E503" s="1"/>
      <c r="F503" s="1"/>
      <c r="G503" s="1"/>
      <c r="H503" s="1"/>
      <c r="I503" s="1"/>
      <c r="J503" s="1"/>
      <c r="K503" s="1"/>
    </row>
    <row r="504" spans="4:11" x14ac:dyDescent="0.3">
      <c r="D504" s="1"/>
      <c r="E504" s="1"/>
      <c r="F504" s="1"/>
      <c r="G504" s="1"/>
      <c r="H504" s="1"/>
      <c r="I504" s="1"/>
      <c r="J504" s="1"/>
      <c r="K504" s="1"/>
    </row>
    <row r="505" spans="4:11" x14ac:dyDescent="0.3">
      <c r="D505" s="1"/>
      <c r="E505" s="1"/>
      <c r="F505" s="1"/>
      <c r="G505" s="1"/>
      <c r="H505" s="1"/>
      <c r="I505" s="1"/>
      <c r="J505" s="1"/>
      <c r="K505" s="1"/>
    </row>
    <row r="506" spans="4:11" x14ac:dyDescent="0.3">
      <c r="D506" s="1"/>
      <c r="E506" s="1"/>
      <c r="F506" s="1"/>
      <c r="G506" s="1"/>
      <c r="H506" s="1"/>
      <c r="I506" s="1"/>
      <c r="J506" s="1"/>
      <c r="K506" s="1"/>
    </row>
    <row r="507" spans="4:11" x14ac:dyDescent="0.3">
      <c r="D507" s="1"/>
      <c r="E507" s="1"/>
      <c r="F507" s="1"/>
      <c r="G507" s="1"/>
      <c r="H507" s="1"/>
      <c r="I507" s="1"/>
      <c r="J507" s="1"/>
      <c r="K507" s="1"/>
    </row>
    <row r="508" spans="4:11" x14ac:dyDescent="0.3">
      <c r="D508" s="1"/>
      <c r="E508" s="1"/>
      <c r="F508" s="1"/>
      <c r="G508" s="1"/>
      <c r="H508" s="1"/>
      <c r="I508" s="1"/>
      <c r="J508" s="1"/>
      <c r="K508" s="1"/>
    </row>
    <row r="509" spans="4:11" x14ac:dyDescent="0.3">
      <c r="D509" s="1"/>
      <c r="E509" s="1"/>
      <c r="F509" s="1"/>
      <c r="G509" s="1"/>
      <c r="H509" s="1"/>
      <c r="I509" s="1"/>
      <c r="J509" s="1"/>
      <c r="K509" s="1"/>
    </row>
    <row r="510" spans="4:11" x14ac:dyDescent="0.3">
      <c r="D510" s="1"/>
      <c r="E510" s="1"/>
      <c r="F510" s="1"/>
      <c r="G510" s="1"/>
      <c r="H510" s="1"/>
      <c r="I510" s="1"/>
      <c r="J510" s="1"/>
      <c r="K510" s="1"/>
    </row>
    <row r="511" spans="4:11" x14ac:dyDescent="0.3">
      <c r="D511" s="1"/>
      <c r="E511" s="1"/>
      <c r="F511" s="1"/>
      <c r="G511" s="1"/>
      <c r="H511" s="1"/>
      <c r="I511" s="1"/>
      <c r="J511" s="1"/>
      <c r="K511" s="1"/>
    </row>
    <row r="512" spans="4:11" x14ac:dyDescent="0.3">
      <c r="D512" s="1"/>
      <c r="E512" s="1"/>
      <c r="F512" s="1"/>
      <c r="G512" s="1"/>
      <c r="H512" s="1"/>
      <c r="I512" s="1"/>
      <c r="J512" s="1"/>
      <c r="K512" s="1"/>
    </row>
    <row r="513" spans="4:11" x14ac:dyDescent="0.3">
      <c r="D513" s="1"/>
      <c r="E513" s="1"/>
      <c r="F513" s="1"/>
      <c r="G513" s="1"/>
      <c r="H513" s="1"/>
      <c r="I513" s="1"/>
      <c r="J513" s="1"/>
      <c r="K513" s="1"/>
    </row>
    <row r="514" spans="4:11" x14ac:dyDescent="0.3">
      <c r="D514" s="1"/>
      <c r="E514" s="1"/>
      <c r="F514" s="1"/>
      <c r="G514" s="1"/>
      <c r="H514" s="1"/>
      <c r="I514" s="1"/>
      <c r="J514" s="1"/>
      <c r="K514" s="1"/>
    </row>
    <row r="515" spans="4:11" x14ac:dyDescent="0.3">
      <c r="D515" s="1"/>
      <c r="E515" s="1"/>
      <c r="F515" s="1"/>
      <c r="G515" s="1"/>
      <c r="H515" s="1"/>
      <c r="I515" s="1"/>
      <c r="J515" s="1"/>
      <c r="K515" s="1"/>
    </row>
    <row r="516" spans="4:11" x14ac:dyDescent="0.3">
      <c r="D516" s="1"/>
      <c r="E516" s="1"/>
      <c r="F516" s="1"/>
      <c r="G516" s="1"/>
      <c r="H516" s="1"/>
      <c r="I516" s="1"/>
      <c r="J516" s="1"/>
      <c r="K516" s="1"/>
    </row>
    <row r="517" spans="4:11" x14ac:dyDescent="0.3">
      <c r="D517" s="1"/>
      <c r="E517" s="1"/>
      <c r="F517" s="1"/>
      <c r="G517" s="1"/>
      <c r="H517" s="1"/>
      <c r="I517" s="1"/>
      <c r="J517" s="1"/>
      <c r="K517" s="1"/>
    </row>
    <row r="518" spans="4:11" x14ac:dyDescent="0.3">
      <c r="D518" s="1"/>
      <c r="E518" s="1"/>
      <c r="F518" s="1"/>
      <c r="G518" s="1"/>
      <c r="H518" s="1"/>
      <c r="I518" s="1"/>
      <c r="J518" s="1"/>
      <c r="K518" s="1"/>
    </row>
    <row r="519" spans="4:11" x14ac:dyDescent="0.3">
      <c r="D519" s="1"/>
      <c r="E519" s="1"/>
      <c r="F519" s="1"/>
      <c r="G519" s="1"/>
      <c r="H519" s="1"/>
      <c r="I519" s="1"/>
      <c r="J519" s="1"/>
      <c r="K519" s="1"/>
    </row>
    <row r="520" spans="4:11" x14ac:dyDescent="0.3">
      <c r="D520" s="1"/>
      <c r="E520" s="1"/>
      <c r="F520" s="1"/>
      <c r="G520" s="1"/>
      <c r="H520" s="1"/>
      <c r="I520" s="1"/>
      <c r="J520" s="1"/>
      <c r="K520" s="1"/>
    </row>
    <row r="521" spans="4:11" x14ac:dyDescent="0.3">
      <c r="D521" s="1"/>
      <c r="E521" s="1"/>
      <c r="F521" s="1"/>
      <c r="G521" s="1"/>
      <c r="H521" s="1"/>
      <c r="I521" s="1"/>
      <c r="J521" s="1"/>
      <c r="K521" s="1"/>
    </row>
    <row r="522" spans="4:11" x14ac:dyDescent="0.3">
      <c r="D522" s="1"/>
      <c r="E522" s="1"/>
      <c r="F522" s="1"/>
      <c r="G522" s="1"/>
      <c r="H522" s="1"/>
      <c r="I522" s="1"/>
      <c r="J522" s="1"/>
      <c r="K522" s="1"/>
    </row>
    <row r="523" spans="4:11" x14ac:dyDescent="0.3">
      <c r="D523" s="1"/>
      <c r="E523" s="1"/>
      <c r="F523" s="1"/>
      <c r="G523" s="1"/>
      <c r="H523" s="1"/>
      <c r="I523" s="1"/>
      <c r="J523" s="1"/>
      <c r="K523" s="1"/>
    </row>
    <row r="524" spans="4:11" x14ac:dyDescent="0.3">
      <c r="D524" s="1"/>
      <c r="E524" s="1"/>
      <c r="F524" s="1"/>
      <c r="G524" s="1"/>
      <c r="H524" s="1"/>
      <c r="I524" s="1"/>
      <c r="J524" s="1"/>
      <c r="K524" s="1"/>
    </row>
    <row r="525" spans="4:11" x14ac:dyDescent="0.3">
      <c r="D525" s="1"/>
      <c r="E525" s="1"/>
      <c r="F525" s="1"/>
      <c r="G525" s="1"/>
      <c r="H525" s="1"/>
      <c r="I525" s="1"/>
      <c r="J525" s="1"/>
      <c r="K525" s="1"/>
    </row>
    <row r="526" spans="4:11" x14ac:dyDescent="0.3">
      <c r="D526" s="1"/>
      <c r="E526" s="1"/>
      <c r="F526" s="1"/>
      <c r="G526" s="1"/>
      <c r="H526" s="1"/>
      <c r="I526" s="1"/>
      <c r="J526" s="1"/>
      <c r="K526" s="1"/>
    </row>
    <row r="527" spans="4:11" x14ac:dyDescent="0.3">
      <c r="D527" s="1"/>
      <c r="E527" s="1"/>
      <c r="F527" s="1"/>
      <c r="G527" s="1"/>
      <c r="H527" s="1"/>
      <c r="I527" s="1"/>
      <c r="J527" s="1"/>
      <c r="K527" s="1"/>
    </row>
    <row r="528" spans="4:11" x14ac:dyDescent="0.3">
      <c r="D528" s="1"/>
      <c r="E528" s="1"/>
      <c r="F528" s="1"/>
      <c r="G528" s="1"/>
      <c r="H528" s="1"/>
      <c r="I528" s="1"/>
      <c r="J528" s="1"/>
      <c r="K528" s="1"/>
    </row>
    <row r="529" spans="4:11" x14ac:dyDescent="0.3">
      <c r="D529" s="1"/>
      <c r="E529" s="1"/>
      <c r="F529" s="1"/>
      <c r="G529" s="1"/>
      <c r="H529" s="1"/>
      <c r="I529" s="1"/>
      <c r="J529" s="1"/>
      <c r="K529" s="1"/>
    </row>
    <row r="530" spans="4:11" x14ac:dyDescent="0.3">
      <c r="D530" s="1"/>
      <c r="E530" s="1"/>
      <c r="F530" s="1"/>
      <c r="G530" s="1"/>
      <c r="H530" s="1"/>
      <c r="I530" s="1"/>
      <c r="J530" s="1"/>
      <c r="K530" s="1"/>
    </row>
    <row r="531" spans="4:11" x14ac:dyDescent="0.3">
      <c r="D531" s="1"/>
      <c r="E531" s="1"/>
      <c r="F531" s="1"/>
      <c r="G531" s="1"/>
      <c r="H531" s="1"/>
      <c r="I531" s="1"/>
      <c r="J531" s="1"/>
      <c r="K531" s="1"/>
    </row>
    <row r="532" spans="4:11" x14ac:dyDescent="0.3">
      <c r="D532" s="1"/>
      <c r="E532" s="1"/>
      <c r="F532" s="1"/>
      <c r="G532" s="1"/>
      <c r="H532" s="1"/>
      <c r="I532" s="1"/>
      <c r="J532" s="1"/>
      <c r="K532" s="1"/>
    </row>
    <row r="533" spans="4:11" x14ac:dyDescent="0.3">
      <c r="D533" s="1"/>
      <c r="E533" s="1"/>
      <c r="F533" s="1"/>
      <c r="G533" s="1"/>
      <c r="H533" s="1"/>
      <c r="I533" s="1"/>
      <c r="J533" s="1"/>
      <c r="K533" s="1"/>
    </row>
    <row r="534" spans="4:11" x14ac:dyDescent="0.3">
      <c r="D534" s="1"/>
      <c r="E534" s="1"/>
      <c r="F534" s="1"/>
      <c r="G534" s="1"/>
      <c r="H534" s="1"/>
      <c r="I534" s="1"/>
      <c r="J534" s="1"/>
      <c r="K534" s="1"/>
    </row>
    <row r="535" spans="4:11" x14ac:dyDescent="0.3">
      <c r="D535" s="1"/>
      <c r="E535" s="1"/>
      <c r="F535" s="1"/>
      <c r="G535" s="1"/>
      <c r="H535" s="1"/>
      <c r="I535" s="1"/>
      <c r="J535" s="1"/>
      <c r="K535" s="1"/>
    </row>
    <row r="536" spans="4:11" x14ac:dyDescent="0.3">
      <c r="D536" s="1"/>
      <c r="E536" s="1"/>
      <c r="F536" s="1"/>
      <c r="G536" s="1"/>
      <c r="H536" s="1"/>
      <c r="I536" s="1"/>
      <c r="J536" s="1"/>
      <c r="K536" s="1"/>
    </row>
    <row r="537" spans="4:11" x14ac:dyDescent="0.3">
      <c r="D537" s="1"/>
      <c r="E537" s="1"/>
      <c r="F537" s="1"/>
      <c r="G537" s="1"/>
      <c r="H537" s="1"/>
      <c r="I537" s="1"/>
      <c r="J537" s="1"/>
      <c r="K537" s="1"/>
    </row>
    <row r="538" spans="4:11" x14ac:dyDescent="0.3">
      <c r="D538" s="1"/>
      <c r="E538" s="1"/>
      <c r="F538" s="1"/>
      <c r="G538" s="1"/>
      <c r="H538" s="1"/>
      <c r="I538" s="1"/>
      <c r="J538" s="1"/>
      <c r="K538" s="1"/>
    </row>
    <row r="539" spans="4:11" x14ac:dyDescent="0.3">
      <c r="D539" s="1"/>
      <c r="E539" s="1"/>
      <c r="F539" s="1"/>
      <c r="G539" s="1"/>
      <c r="H539" s="1"/>
      <c r="I539" s="1"/>
      <c r="J539" s="1"/>
      <c r="K539" s="1"/>
    </row>
    <row r="540" spans="4:11" x14ac:dyDescent="0.3">
      <c r="D540" s="1"/>
      <c r="E540" s="1"/>
      <c r="F540" s="1"/>
      <c r="G540" s="1"/>
      <c r="H540" s="1"/>
      <c r="I540" s="1"/>
      <c r="J540" s="1"/>
      <c r="K540" s="1"/>
    </row>
    <row r="541" spans="4:11" x14ac:dyDescent="0.3">
      <c r="D541" s="1"/>
      <c r="E541" s="1"/>
      <c r="F541" s="1"/>
      <c r="G541" s="1"/>
      <c r="H541" s="1"/>
      <c r="I541" s="1"/>
      <c r="J541" s="1"/>
      <c r="K541" s="1"/>
    </row>
    <row r="542" spans="4:11" x14ac:dyDescent="0.3">
      <c r="D542" s="1"/>
      <c r="E542" s="1"/>
      <c r="F542" s="1"/>
      <c r="G542" s="1"/>
      <c r="H542" s="1"/>
      <c r="I542" s="1"/>
      <c r="J542" s="1"/>
      <c r="K542" s="1"/>
    </row>
    <row r="543" spans="4:11" x14ac:dyDescent="0.3">
      <c r="D543" s="1"/>
      <c r="E543" s="1"/>
      <c r="F543" s="1"/>
      <c r="G543" s="1"/>
      <c r="H543" s="1"/>
      <c r="I543" s="1"/>
      <c r="J543" s="1"/>
      <c r="K543" s="1"/>
    </row>
    <row r="544" spans="4:11" x14ac:dyDescent="0.3">
      <c r="D544" s="1"/>
      <c r="E544" s="1"/>
      <c r="H544" s="1"/>
      <c r="I544" s="1"/>
    </row>
    <row r="545" spans="8:9" x14ac:dyDescent="0.3">
      <c r="H545" s="1"/>
      <c r="I545" s="1"/>
    </row>
  </sheetData>
  <sortState ref="D5:G441">
    <sortCondition ref="D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459"/>
  <sheetViews>
    <sheetView tabSelected="1" workbookViewId="0">
      <selection activeCell="D25" sqref="D25"/>
    </sheetView>
  </sheetViews>
  <sheetFormatPr defaultRowHeight="14.4" x14ac:dyDescent="0.3"/>
  <cols>
    <col min="1" max="1" width="52.6640625" customWidth="1"/>
    <col min="2" max="4" width="9" bestFit="1" customWidth="1"/>
    <col min="5" max="5" width="14.44140625" bestFit="1" customWidth="1"/>
    <col min="6" max="6" width="61" bestFit="1" customWidth="1"/>
    <col min="7" max="7" width="30.5546875" bestFit="1" customWidth="1"/>
  </cols>
  <sheetData>
    <row r="1" spans="1:8" x14ac:dyDescent="0.3">
      <c r="A1" t="s">
        <v>14</v>
      </c>
    </row>
    <row r="2" spans="1:8" x14ac:dyDescent="0.3">
      <c r="A2" s="5" t="str">
        <f>"{ Thickness }" &amp;  " " &amp; G4</f>
        <v>{ Thickness } 6</v>
      </c>
    </row>
    <row r="3" spans="1:8" x14ac:dyDescent="0.3">
      <c r="A3" t="s">
        <v>0</v>
      </c>
      <c r="F3" s="17" t="s">
        <v>22</v>
      </c>
      <c r="G3" s="13" t="s">
        <v>24</v>
      </c>
      <c r="H3" s="13" t="s">
        <v>23</v>
      </c>
    </row>
    <row r="4" spans="1:8" ht="15" x14ac:dyDescent="0.35">
      <c r="A4" t="s">
        <v>1</v>
      </c>
      <c r="F4" s="18" t="s">
        <v>15</v>
      </c>
      <c r="G4" s="13">
        <v>6</v>
      </c>
      <c r="H4" s="16"/>
    </row>
    <row r="5" spans="1:8" ht="15" x14ac:dyDescent="0.35">
      <c r="A5" s="6" t="str">
        <f>"{ Emissivity front back } Emis= 0.837" &amp; " " &amp;  G5</f>
        <v>{ Emissivity front back } Emis= 0.837 0.613</v>
      </c>
      <c r="D5" s="1"/>
      <c r="F5" s="19" t="s">
        <v>16</v>
      </c>
      <c r="G5" s="14">
        <v>0.61299999999999999</v>
      </c>
      <c r="H5" s="16"/>
    </row>
    <row r="6" spans="1:8" ht="15" customHeight="1" x14ac:dyDescent="0.35">
      <c r="A6" t="s">
        <v>2</v>
      </c>
      <c r="D6" s="1"/>
      <c r="F6" s="19" t="s">
        <v>18</v>
      </c>
      <c r="G6" s="15">
        <v>63486</v>
      </c>
      <c r="H6" s="16"/>
    </row>
    <row r="7" spans="1:8" ht="15" x14ac:dyDescent="0.35">
      <c r="A7" t="s">
        <v>3</v>
      </c>
      <c r="D7" s="1"/>
      <c r="F7" s="19" t="s">
        <v>19</v>
      </c>
      <c r="G7" s="15" t="s">
        <v>21</v>
      </c>
      <c r="H7" s="16"/>
    </row>
    <row r="8" spans="1:8" ht="15" x14ac:dyDescent="0.35">
      <c r="A8" t="s">
        <v>4</v>
      </c>
      <c r="D8" s="1"/>
      <c r="E8" s="2"/>
      <c r="F8" s="10" t="s">
        <v>20</v>
      </c>
      <c r="G8" s="9" t="s">
        <v>25</v>
      </c>
      <c r="H8" s="12"/>
    </row>
    <row r="9" spans="1:8" ht="15" x14ac:dyDescent="0.35">
      <c r="A9" t="s">
        <v>5</v>
      </c>
      <c r="D9" s="1"/>
      <c r="E9" s="2"/>
      <c r="F9" s="10" t="s">
        <v>17</v>
      </c>
      <c r="G9" s="9" t="str">
        <f>G6 &amp; "_"&amp;G3&amp;"_"&amp;G4&amp;"mm"&amp;"_"&amp;H3</f>
        <v>63486_Solar Series Neutral 34_6mm_AM</v>
      </c>
      <c r="H9" s="12"/>
    </row>
    <row r="10" spans="1:8" x14ac:dyDescent="0.3">
      <c r="A10" s="6" t="str">
        <f>"{ Product Name:" &amp; " " &amp; G9 &amp; " " &amp; "}"</f>
        <v>{ Product Name: 63486_Solar Series Neutral 34_6mm_AM }</v>
      </c>
      <c r="D10" s="1"/>
      <c r="E10" s="2"/>
    </row>
    <row r="11" spans="1:8" x14ac:dyDescent="0.3">
      <c r="A11" t="s">
        <v>6</v>
      </c>
      <c r="D11" s="1"/>
      <c r="E11" s="2"/>
      <c r="F11" s="2"/>
      <c r="G11" s="2"/>
    </row>
    <row r="12" spans="1:8" x14ac:dyDescent="0.3">
      <c r="A12" s="6" t="str">
        <f>"{ NFRC ID:" &amp; " " &amp; G6 &amp; " " &amp; "}"</f>
        <v>{ NFRC ID: 63486 }</v>
      </c>
      <c r="D12" s="1"/>
      <c r="E12" s="2"/>
      <c r="F12" s="2"/>
      <c r="G12" s="2"/>
    </row>
    <row r="13" spans="1:8" x14ac:dyDescent="0.3">
      <c r="A13" t="s">
        <v>7</v>
      </c>
      <c r="D13" s="1"/>
      <c r="E13" s="2"/>
      <c r="F13" s="2"/>
      <c r="G13" s="2"/>
    </row>
    <row r="14" spans="1:8" x14ac:dyDescent="0.3">
      <c r="A14" t="s">
        <v>8</v>
      </c>
      <c r="D14" s="1"/>
      <c r="E14" s="2"/>
      <c r="F14" s="2"/>
      <c r="G14" s="2"/>
    </row>
    <row r="15" spans="1:8" x14ac:dyDescent="0.3">
      <c r="A15" s="6" t="str">
        <f>"{ Coating Name:" &amp; " " &amp; G9 &amp; " " &amp; "}"</f>
        <v>{ Coating Name: 63486_Solar Series Neutral 34_6mm_AM }</v>
      </c>
      <c r="D15" s="1"/>
      <c r="E15" s="2"/>
      <c r="F15" s="2"/>
      <c r="G15" s="2"/>
    </row>
    <row r="16" spans="1:8" x14ac:dyDescent="0.3">
      <c r="A16" t="s">
        <v>9</v>
      </c>
      <c r="D16" s="1"/>
      <c r="E16" s="2"/>
      <c r="F16" s="2"/>
      <c r="G16" s="2"/>
    </row>
    <row r="17" spans="1:7" x14ac:dyDescent="0.3">
      <c r="A17" t="str">
        <f>"{ Substrate Filename: "&amp;G8&amp;" "&amp; "}"</f>
        <v>{ Substrate Filename: 63485_New_AIS_ClearFloatglass_10012023_6mm_BM.txt }</v>
      </c>
      <c r="D17" s="1"/>
      <c r="E17" s="2"/>
      <c r="F17" s="2"/>
      <c r="G17" s="2"/>
    </row>
    <row r="18" spans="1:7" x14ac:dyDescent="0.3">
      <c r="A18" t="str">
        <f>"{ Appearance: "&amp;G7&amp;" "&amp; "}"</f>
        <v>{ Appearance: NEUTRAL }</v>
      </c>
      <c r="D18" s="1"/>
      <c r="E18" s="2"/>
      <c r="F18" s="2"/>
      <c r="G18" s="2"/>
    </row>
    <row r="19" spans="1:7" x14ac:dyDescent="0.3">
      <c r="A19" t="s">
        <v>10</v>
      </c>
      <c r="D19" s="1"/>
      <c r="E19" s="2"/>
      <c r="F19" s="2"/>
      <c r="G19" s="2"/>
    </row>
    <row r="20" spans="1:7" x14ac:dyDescent="0.3">
      <c r="A20" t="s">
        <v>11</v>
      </c>
      <c r="D20" s="1"/>
      <c r="E20" s="2"/>
      <c r="F20" s="2"/>
      <c r="G20" s="2"/>
    </row>
    <row r="21" spans="1:7" x14ac:dyDescent="0.3">
      <c r="A21" t="s">
        <v>12</v>
      </c>
      <c r="D21" s="1"/>
      <c r="E21" s="2"/>
      <c r="F21" s="2"/>
      <c r="G21" s="2"/>
    </row>
    <row r="22" spans="1:7" x14ac:dyDescent="0.3">
      <c r="A22" t="s">
        <v>13</v>
      </c>
      <c r="D22" s="1"/>
      <c r="E22" s="2"/>
      <c r="F22" s="2"/>
      <c r="G22" s="2"/>
    </row>
    <row r="23" spans="1:7" x14ac:dyDescent="0.3">
      <c r="A23" s="8"/>
      <c r="B23" s="1"/>
      <c r="C23" s="1"/>
      <c r="D23" s="1"/>
      <c r="E23" s="2"/>
      <c r="F23" s="2"/>
      <c r="G23" s="2"/>
    </row>
    <row r="24" spans="1:7" x14ac:dyDescent="0.3">
      <c r="A24" s="8"/>
      <c r="B24" s="1"/>
      <c r="C24" s="1"/>
      <c r="D24" s="1"/>
      <c r="E24" s="2"/>
      <c r="F24" s="2"/>
      <c r="G24" s="2"/>
    </row>
    <row r="25" spans="1:7" x14ac:dyDescent="0.3">
      <c r="A25" s="8"/>
      <c r="B25" s="1"/>
      <c r="C25" s="1"/>
      <c r="D25" s="1"/>
      <c r="E25" s="2"/>
      <c r="F25" s="2"/>
      <c r="G25" s="2"/>
    </row>
    <row r="26" spans="1:7" x14ac:dyDescent="0.3">
      <c r="A26" s="8"/>
      <c r="B26" s="1"/>
      <c r="C26" s="1"/>
      <c r="D26" s="1"/>
      <c r="E26" s="2"/>
      <c r="F26" s="2"/>
      <c r="G26" s="2"/>
    </row>
    <row r="27" spans="1:7" x14ac:dyDescent="0.3">
      <c r="A27" s="8"/>
      <c r="B27" s="1"/>
      <c r="C27" s="1"/>
      <c r="D27" s="1"/>
      <c r="E27" s="2"/>
      <c r="F27" s="2"/>
      <c r="G27" s="2"/>
    </row>
    <row r="28" spans="1:7" x14ac:dyDescent="0.3">
      <c r="A28" s="8"/>
      <c r="B28" s="1"/>
      <c r="C28" s="1"/>
      <c r="D28" s="1"/>
      <c r="E28" s="2"/>
      <c r="F28" s="2"/>
      <c r="G28" s="2"/>
    </row>
    <row r="29" spans="1:7" x14ac:dyDescent="0.3">
      <c r="A29" s="8"/>
      <c r="B29" s="1"/>
      <c r="C29" s="1"/>
      <c r="D29" s="1"/>
      <c r="E29" s="2"/>
      <c r="F29" s="2"/>
      <c r="G29" s="2"/>
    </row>
    <row r="30" spans="1:7" x14ac:dyDescent="0.3">
      <c r="A30" s="8"/>
      <c r="B30" s="1"/>
      <c r="C30" s="1"/>
      <c r="D30" s="1"/>
      <c r="E30" s="2"/>
      <c r="F30" s="2"/>
      <c r="G30" s="2"/>
    </row>
    <row r="31" spans="1:7" x14ac:dyDescent="0.3">
      <c r="A31" s="8"/>
      <c r="B31" s="1"/>
      <c r="C31" s="1"/>
      <c r="D31" s="1"/>
      <c r="E31" s="2"/>
      <c r="F31" s="2"/>
      <c r="G31" s="2"/>
    </row>
    <row r="32" spans="1:7" x14ac:dyDescent="0.3">
      <c r="A32" s="8"/>
      <c r="B32" s="1"/>
      <c r="C32" s="1"/>
      <c r="D32" s="1"/>
      <c r="E32" s="2"/>
      <c r="F32" s="2"/>
      <c r="G32" s="2"/>
    </row>
    <row r="33" spans="1:7" x14ac:dyDescent="0.3">
      <c r="A33" s="8"/>
      <c r="B33" s="1"/>
      <c r="C33" s="1"/>
      <c r="D33" s="1"/>
      <c r="E33" s="2"/>
      <c r="F33" s="2"/>
      <c r="G33" s="2"/>
    </row>
    <row r="34" spans="1:7" x14ac:dyDescent="0.3">
      <c r="A34" s="8"/>
      <c r="B34" s="1"/>
      <c r="C34" s="1"/>
      <c r="D34" s="1"/>
      <c r="E34" s="2"/>
      <c r="F34" s="2"/>
      <c r="G34" s="2"/>
    </row>
    <row r="35" spans="1:7" x14ac:dyDescent="0.3">
      <c r="A35" s="8"/>
      <c r="B35" s="1"/>
      <c r="C35" s="1"/>
      <c r="D35" s="1"/>
      <c r="E35" s="2"/>
      <c r="F35" s="2"/>
      <c r="G35" s="2"/>
    </row>
    <row r="36" spans="1:7" x14ac:dyDescent="0.3">
      <c r="A36" s="8"/>
      <c r="B36" s="1"/>
      <c r="C36" s="1"/>
      <c r="D36" s="1"/>
      <c r="E36" s="2"/>
      <c r="F36" s="2"/>
      <c r="G36" s="2"/>
    </row>
    <row r="37" spans="1:7" x14ac:dyDescent="0.3">
      <c r="A37" s="8"/>
      <c r="B37" s="1"/>
      <c r="C37" s="1"/>
      <c r="D37" s="1"/>
      <c r="E37" s="2"/>
      <c r="F37" s="2"/>
      <c r="G37" s="2"/>
    </row>
    <row r="38" spans="1:7" x14ac:dyDescent="0.3">
      <c r="A38" s="8"/>
      <c r="B38" s="1"/>
      <c r="C38" s="1"/>
      <c r="D38" s="1"/>
      <c r="E38" s="2"/>
      <c r="F38" s="2"/>
      <c r="G38" s="2"/>
    </row>
    <row r="39" spans="1:7" x14ac:dyDescent="0.3">
      <c r="A39" s="8"/>
      <c r="B39" s="1"/>
      <c r="C39" s="1"/>
      <c r="D39" s="1"/>
      <c r="E39" s="2"/>
      <c r="F39" s="2"/>
      <c r="G39" s="2"/>
    </row>
    <row r="40" spans="1:7" x14ac:dyDescent="0.3">
      <c r="A40" s="8"/>
      <c r="B40" s="1"/>
      <c r="C40" s="1"/>
      <c r="D40" s="1"/>
      <c r="E40" s="2"/>
      <c r="F40" s="2"/>
      <c r="G40" s="2"/>
    </row>
    <row r="41" spans="1:7" x14ac:dyDescent="0.3">
      <c r="A41" s="8"/>
      <c r="B41" s="1"/>
      <c r="C41" s="1"/>
      <c r="D41" s="1"/>
      <c r="E41" s="2"/>
      <c r="F41" s="2"/>
      <c r="G41" s="2"/>
    </row>
    <row r="42" spans="1:7" x14ac:dyDescent="0.3">
      <c r="A42" s="8"/>
      <c r="B42" s="1"/>
      <c r="C42" s="1"/>
      <c r="D42" s="1"/>
      <c r="E42" s="2"/>
      <c r="F42" s="2"/>
      <c r="G42" s="2"/>
    </row>
    <row r="43" spans="1:7" x14ac:dyDescent="0.3">
      <c r="A43" s="8"/>
      <c r="B43" s="1"/>
      <c r="C43" s="1"/>
      <c r="D43" s="1"/>
      <c r="E43" s="2"/>
      <c r="F43" s="2"/>
      <c r="G43" s="2"/>
    </row>
    <row r="44" spans="1:7" x14ac:dyDescent="0.3">
      <c r="A44" s="8"/>
      <c r="B44" s="1"/>
      <c r="C44" s="1"/>
      <c r="D44" s="1"/>
      <c r="E44" s="2"/>
      <c r="F44" s="2"/>
      <c r="G44" s="2"/>
    </row>
    <row r="45" spans="1:7" x14ac:dyDescent="0.3">
      <c r="A45" s="8"/>
      <c r="B45" s="1"/>
      <c r="C45" s="1"/>
      <c r="D45" s="1"/>
      <c r="E45" s="2"/>
      <c r="F45" s="2"/>
      <c r="G45" s="2"/>
    </row>
    <row r="46" spans="1:7" x14ac:dyDescent="0.3">
      <c r="A46" s="8"/>
      <c r="B46" s="1"/>
      <c r="C46" s="1"/>
      <c r="D46" s="1"/>
      <c r="E46" s="2"/>
      <c r="F46" s="2"/>
      <c r="G46" s="2"/>
    </row>
    <row r="47" spans="1:7" x14ac:dyDescent="0.3">
      <c r="A47" s="8"/>
      <c r="B47" s="1"/>
      <c r="C47" s="1"/>
      <c r="D47" s="1"/>
      <c r="E47" s="2"/>
      <c r="F47" s="2"/>
      <c r="G47" s="2"/>
    </row>
    <row r="48" spans="1:7" x14ac:dyDescent="0.3">
      <c r="A48" s="8"/>
      <c r="B48" s="1"/>
      <c r="C48" s="1"/>
      <c r="D48" s="1"/>
      <c r="E48" s="2"/>
      <c r="F48" s="2"/>
      <c r="G48" s="2"/>
    </row>
    <row r="49" spans="1:7" x14ac:dyDescent="0.3">
      <c r="A49" s="8"/>
      <c r="B49" s="1"/>
      <c r="C49" s="1"/>
      <c r="D49" s="1"/>
      <c r="E49" s="2"/>
      <c r="F49" s="2"/>
      <c r="G49" s="2"/>
    </row>
    <row r="50" spans="1:7" x14ac:dyDescent="0.3">
      <c r="A50" s="8"/>
      <c r="B50" s="1"/>
      <c r="C50" s="1"/>
      <c r="D50" s="1"/>
      <c r="E50" s="2"/>
      <c r="F50" s="2"/>
      <c r="G50" s="2"/>
    </row>
    <row r="51" spans="1:7" x14ac:dyDescent="0.3">
      <c r="A51" s="8"/>
      <c r="B51" s="1"/>
      <c r="C51" s="1"/>
      <c r="D51" s="1"/>
      <c r="E51" s="2"/>
      <c r="F51" s="2"/>
      <c r="G51" s="2"/>
    </row>
    <row r="52" spans="1:7" x14ac:dyDescent="0.3">
      <c r="A52" s="8"/>
      <c r="B52" s="1"/>
      <c r="C52" s="1"/>
      <c r="D52" s="1"/>
      <c r="E52" s="2"/>
      <c r="F52" s="2"/>
      <c r="G52" s="2"/>
    </row>
    <row r="53" spans="1:7" x14ac:dyDescent="0.3">
      <c r="A53" s="8"/>
      <c r="B53" s="1"/>
      <c r="C53" s="1"/>
      <c r="D53" s="1"/>
      <c r="E53" s="2"/>
      <c r="F53" s="2"/>
      <c r="G53" s="2"/>
    </row>
    <row r="54" spans="1:7" x14ac:dyDescent="0.3">
      <c r="A54" s="8"/>
      <c r="B54" s="1"/>
      <c r="C54" s="1"/>
      <c r="D54" s="1"/>
      <c r="E54" s="2"/>
      <c r="F54" s="2"/>
      <c r="G54" s="2"/>
    </row>
    <row r="55" spans="1:7" x14ac:dyDescent="0.3">
      <c r="A55" s="8"/>
      <c r="B55" s="1"/>
      <c r="C55" s="1"/>
      <c r="D55" s="1"/>
      <c r="E55" s="2"/>
      <c r="F55" s="2"/>
      <c r="G55" s="2"/>
    </row>
    <row r="56" spans="1:7" x14ac:dyDescent="0.3">
      <c r="A56" s="8"/>
      <c r="B56" s="1"/>
      <c r="C56" s="1"/>
      <c r="D56" s="1"/>
      <c r="E56" s="2"/>
      <c r="F56" s="2"/>
      <c r="G56" s="2"/>
    </row>
    <row r="57" spans="1:7" x14ac:dyDescent="0.3">
      <c r="A57" s="8"/>
      <c r="B57" s="1"/>
      <c r="C57" s="1"/>
      <c r="D57" s="1"/>
      <c r="E57" s="2"/>
      <c r="F57" s="2"/>
      <c r="G57" s="2"/>
    </row>
    <row r="58" spans="1:7" x14ac:dyDescent="0.3">
      <c r="A58" s="8"/>
      <c r="B58" s="1"/>
      <c r="C58" s="1"/>
      <c r="D58" s="1"/>
      <c r="E58" s="2"/>
      <c r="F58" s="2"/>
      <c r="G58" s="2"/>
    </row>
    <row r="59" spans="1:7" x14ac:dyDescent="0.3">
      <c r="A59" s="8"/>
      <c r="B59" s="1"/>
      <c r="C59" s="1"/>
      <c r="D59" s="1"/>
      <c r="E59" s="2"/>
      <c r="F59" s="2"/>
      <c r="G59" s="2"/>
    </row>
    <row r="60" spans="1:7" x14ac:dyDescent="0.3">
      <c r="A60" s="8"/>
      <c r="B60" s="1"/>
      <c r="C60" s="1"/>
      <c r="D60" s="1"/>
      <c r="E60" s="2"/>
      <c r="F60" s="2"/>
      <c r="G60" s="2"/>
    </row>
    <row r="61" spans="1:7" x14ac:dyDescent="0.3">
      <c r="A61" s="8"/>
      <c r="B61" s="1"/>
      <c r="C61" s="1"/>
      <c r="D61" s="1"/>
      <c r="E61" s="2"/>
      <c r="F61" s="2"/>
      <c r="G61" s="2"/>
    </row>
    <row r="62" spans="1:7" x14ac:dyDescent="0.3">
      <c r="A62" s="8"/>
      <c r="B62" s="1"/>
      <c r="C62" s="1"/>
      <c r="D62" s="1"/>
      <c r="E62" s="2"/>
      <c r="F62" s="2"/>
      <c r="G62" s="2"/>
    </row>
    <row r="63" spans="1:7" x14ac:dyDescent="0.3">
      <c r="A63" s="8"/>
      <c r="B63" s="1"/>
      <c r="C63" s="1"/>
      <c r="D63" s="1"/>
      <c r="E63" s="2"/>
      <c r="F63" s="2"/>
      <c r="G63" s="2"/>
    </row>
    <row r="64" spans="1:7" x14ac:dyDescent="0.3">
      <c r="A64" s="8"/>
      <c r="B64" s="1"/>
      <c r="C64" s="1"/>
      <c r="D64" s="1"/>
      <c r="E64" s="2"/>
      <c r="F64" s="2"/>
      <c r="G64" s="2"/>
    </row>
    <row r="65" spans="1:7" x14ac:dyDescent="0.3">
      <c r="A65" s="8"/>
      <c r="B65" s="1"/>
      <c r="C65" s="1"/>
      <c r="D65" s="1"/>
      <c r="E65" s="2"/>
      <c r="F65" s="2"/>
      <c r="G65" s="2"/>
    </row>
    <row r="66" spans="1:7" x14ac:dyDescent="0.3">
      <c r="A66" s="8"/>
      <c r="B66" s="1"/>
      <c r="C66" s="1"/>
      <c r="D66" s="1"/>
      <c r="E66" s="2"/>
      <c r="F66" s="2"/>
      <c r="G66" s="2"/>
    </row>
    <row r="67" spans="1:7" x14ac:dyDescent="0.3">
      <c r="A67" s="8"/>
      <c r="B67" s="1"/>
      <c r="C67" s="1"/>
      <c r="D67" s="1"/>
      <c r="E67" s="2"/>
      <c r="F67" s="2"/>
      <c r="G67" s="2"/>
    </row>
    <row r="68" spans="1:7" x14ac:dyDescent="0.3">
      <c r="A68" s="8"/>
      <c r="B68" s="1"/>
      <c r="C68" s="1"/>
      <c r="D68" s="1"/>
      <c r="E68" s="2"/>
      <c r="F68" s="2"/>
      <c r="G68" s="2"/>
    </row>
    <row r="69" spans="1:7" x14ac:dyDescent="0.3">
      <c r="A69" s="8"/>
      <c r="B69" s="1"/>
      <c r="C69" s="1"/>
      <c r="D69" s="1"/>
      <c r="E69" s="2"/>
      <c r="F69" s="2"/>
      <c r="G69" s="2"/>
    </row>
    <row r="70" spans="1:7" x14ac:dyDescent="0.3">
      <c r="A70" s="8"/>
      <c r="B70" s="1"/>
      <c r="C70" s="1"/>
      <c r="D70" s="1"/>
      <c r="E70" s="2"/>
      <c r="F70" s="2"/>
      <c r="G70" s="2"/>
    </row>
    <row r="71" spans="1:7" x14ac:dyDescent="0.3">
      <c r="A71" s="8"/>
      <c r="B71" s="1"/>
      <c r="C71" s="1"/>
      <c r="D71" s="1"/>
      <c r="E71" s="2"/>
      <c r="F71" s="2"/>
      <c r="G71" s="2"/>
    </row>
    <row r="72" spans="1:7" x14ac:dyDescent="0.3">
      <c r="A72" s="8"/>
      <c r="B72" s="1"/>
      <c r="C72" s="1"/>
      <c r="D72" s="1"/>
      <c r="E72" s="2"/>
      <c r="F72" s="2"/>
      <c r="G72" s="2"/>
    </row>
    <row r="73" spans="1:7" x14ac:dyDescent="0.3">
      <c r="A73" s="8"/>
      <c r="B73" s="1"/>
      <c r="C73" s="1"/>
      <c r="D73" s="1"/>
      <c r="E73" s="2"/>
      <c r="F73" s="2"/>
      <c r="G73" s="2"/>
    </row>
    <row r="74" spans="1:7" x14ac:dyDescent="0.3">
      <c r="A74" s="8"/>
      <c r="B74" s="1"/>
      <c r="C74" s="1"/>
      <c r="D74" s="1"/>
      <c r="E74" s="2"/>
      <c r="F74" s="2"/>
      <c r="G74" s="2"/>
    </row>
    <row r="75" spans="1:7" x14ac:dyDescent="0.3">
      <c r="A75" s="8"/>
      <c r="B75" s="1"/>
      <c r="C75" s="1"/>
      <c r="D75" s="1"/>
      <c r="E75" s="2"/>
      <c r="F75" s="2"/>
      <c r="G75" s="2"/>
    </row>
    <row r="76" spans="1:7" x14ac:dyDescent="0.3">
      <c r="A76" s="8"/>
      <c r="B76" s="1"/>
      <c r="C76" s="1"/>
      <c r="D76" s="1"/>
      <c r="E76" s="2"/>
      <c r="F76" s="2"/>
      <c r="G76" s="2"/>
    </row>
    <row r="77" spans="1:7" x14ac:dyDescent="0.3">
      <c r="A77" s="8"/>
      <c r="B77" s="1"/>
      <c r="C77" s="1"/>
      <c r="D77" s="1"/>
      <c r="E77" s="2"/>
      <c r="F77" s="2"/>
      <c r="G77" s="2"/>
    </row>
    <row r="78" spans="1:7" x14ac:dyDescent="0.3">
      <c r="A78" s="8"/>
      <c r="B78" s="1"/>
      <c r="C78" s="1"/>
      <c r="D78" s="1"/>
      <c r="E78" s="2"/>
      <c r="F78" s="2"/>
      <c r="G78" s="2"/>
    </row>
    <row r="79" spans="1:7" x14ac:dyDescent="0.3">
      <c r="A79" s="8"/>
      <c r="B79" s="1"/>
      <c r="C79" s="1"/>
      <c r="D79" s="1"/>
      <c r="E79" s="2"/>
      <c r="F79" s="2"/>
      <c r="G79" s="2"/>
    </row>
    <row r="80" spans="1:7" x14ac:dyDescent="0.3">
      <c r="A80" s="8"/>
      <c r="B80" s="1"/>
      <c r="C80" s="1"/>
      <c r="D80" s="1"/>
      <c r="E80" s="2"/>
      <c r="F80" s="2"/>
      <c r="G80" s="2"/>
    </row>
    <row r="81" spans="1:7" x14ac:dyDescent="0.3">
      <c r="A81" s="8"/>
      <c r="B81" s="1"/>
      <c r="C81" s="1"/>
      <c r="D81" s="1"/>
      <c r="E81" s="2"/>
      <c r="F81" s="2"/>
      <c r="G81" s="2"/>
    </row>
    <row r="82" spans="1:7" x14ac:dyDescent="0.3">
      <c r="A82" s="8"/>
      <c r="B82" s="1"/>
      <c r="C82" s="1"/>
      <c r="D82" s="1"/>
      <c r="E82" s="2"/>
      <c r="F82" s="2"/>
      <c r="G82" s="2"/>
    </row>
    <row r="83" spans="1:7" x14ac:dyDescent="0.3">
      <c r="A83" s="8"/>
      <c r="B83" s="1"/>
      <c r="C83" s="1"/>
      <c r="D83" s="1"/>
      <c r="E83" s="2"/>
      <c r="F83" s="2"/>
      <c r="G83" s="2"/>
    </row>
    <row r="84" spans="1:7" x14ac:dyDescent="0.3">
      <c r="A84" s="8"/>
      <c r="B84" s="1"/>
      <c r="C84" s="1"/>
      <c r="D84" s="1"/>
      <c r="E84" s="2"/>
      <c r="F84" s="2"/>
      <c r="G84" s="2"/>
    </row>
    <row r="85" spans="1:7" x14ac:dyDescent="0.3">
      <c r="A85" s="8"/>
      <c r="B85" s="1"/>
      <c r="C85" s="1"/>
      <c r="D85" s="1"/>
      <c r="E85" s="2"/>
      <c r="F85" s="2"/>
      <c r="G85" s="2"/>
    </row>
    <row r="86" spans="1:7" x14ac:dyDescent="0.3">
      <c r="A86" s="8"/>
      <c r="B86" s="1"/>
      <c r="C86" s="1"/>
      <c r="D86" s="1"/>
      <c r="E86" s="2"/>
      <c r="F86" s="2"/>
      <c r="G86" s="2"/>
    </row>
    <row r="87" spans="1:7" x14ac:dyDescent="0.3">
      <c r="A87" s="8"/>
      <c r="B87" s="1"/>
      <c r="C87" s="1"/>
      <c r="D87" s="1"/>
      <c r="E87" s="2"/>
      <c r="F87" s="2"/>
      <c r="G87" s="2"/>
    </row>
    <row r="88" spans="1:7" x14ac:dyDescent="0.3">
      <c r="A88" s="8"/>
      <c r="B88" s="1"/>
      <c r="C88" s="1"/>
      <c r="D88" s="1"/>
      <c r="E88" s="2"/>
      <c r="F88" s="2"/>
      <c r="G88" s="2"/>
    </row>
    <row r="89" spans="1:7" x14ac:dyDescent="0.3">
      <c r="A89" s="8"/>
      <c r="B89" s="1"/>
      <c r="C89" s="1"/>
      <c r="D89" s="1"/>
      <c r="E89" s="2"/>
      <c r="F89" s="2"/>
      <c r="G89" s="2"/>
    </row>
    <row r="90" spans="1:7" x14ac:dyDescent="0.3">
      <c r="A90" s="8"/>
      <c r="B90" s="1"/>
      <c r="C90" s="1"/>
      <c r="D90" s="1"/>
      <c r="E90" s="2"/>
      <c r="F90" s="2"/>
      <c r="G90" s="2"/>
    </row>
    <row r="91" spans="1:7" x14ac:dyDescent="0.3">
      <c r="A91" s="8"/>
      <c r="B91" s="1"/>
      <c r="C91" s="1"/>
      <c r="D91" s="1"/>
      <c r="E91" s="2"/>
      <c r="F91" s="2"/>
      <c r="G91" s="2"/>
    </row>
    <row r="92" spans="1:7" x14ac:dyDescent="0.3">
      <c r="A92" s="8"/>
      <c r="B92" s="1"/>
      <c r="C92" s="1"/>
      <c r="D92" s="1"/>
      <c r="E92" s="2"/>
      <c r="F92" s="2"/>
      <c r="G92" s="2"/>
    </row>
    <row r="93" spans="1:7" x14ac:dyDescent="0.3">
      <c r="A93" s="8"/>
      <c r="B93" s="1"/>
      <c r="C93" s="1"/>
      <c r="D93" s="1"/>
      <c r="E93" s="2"/>
      <c r="F93" s="2"/>
      <c r="G93" s="2"/>
    </row>
    <row r="94" spans="1:7" x14ac:dyDescent="0.3">
      <c r="A94" s="8"/>
      <c r="B94" s="1"/>
      <c r="C94" s="1"/>
      <c r="D94" s="1"/>
      <c r="E94" s="2"/>
      <c r="F94" s="2"/>
      <c r="G94" s="2"/>
    </row>
    <row r="95" spans="1:7" x14ac:dyDescent="0.3">
      <c r="A95" s="8"/>
      <c r="B95" s="1"/>
      <c r="C95" s="1"/>
      <c r="D95" s="1"/>
      <c r="E95" s="2"/>
      <c r="F95" s="2"/>
      <c r="G95" s="2"/>
    </row>
    <row r="96" spans="1:7" x14ac:dyDescent="0.3">
      <c r="A96" s="8"/>
      <c r="B96" s="1"/>
      <c r="C96" s="1"/>
      <c r="D96" s="1"/>
      <c r="E96" s="2"/>
      <c r="F96" s="2"/>
      <c r="G96" s="2"/>
    </row>
    <row r="97" spans="1:7" x14ac:dyDescent="0.3">
      <c r="A97" s="8"/>
      <c r="B97" s="1"/>
      <c r="C97" s="1"/>
      <c r="D97" s="1"/>
      <c r="E97" s="2"/>
      <c r="F97" s="2"/>
      <c r="G97" s="2"/>
    </row>
    <row r="98" spans="1:7" x14ac:dyDescent="0.3">
      <c r="A98" s="8"/>
      <c r="B98" s="1"/>
      <c r="C98" s="1"/>
      <c r="D98" s="1"/>
      <c r="E98" s="2"/>
      <c r="F98" s="2"/>
      <c r="G98" s="2"/>
    </row>
    <row r="99" spans="1:7" x14ac:dyDescent="0.3">
      <c r="A99" s="8"/>
      <c r="B99" s="1"/>
      <c r="C99" s="1"/>
      <c r="D99" s="1"/>
      <c r="E99" s="2"/>
      <c r="F99" s="2"/>
      <c r="G99" s="2"/>
    </row>
    <row r="100" spans="1:7" x14ac:dyDescent="0.3">
      <c r="A100" s="8"/>
      <c r="B100" s="1"/>
      <c r="C100" s="1"/>
      <c r="D100" s="1"/>
      <c r="E100" s="2"/>
      <c r="F100" s="2"/>
      <c r="G100" s="2"/>
    </row>
    <row r="101" spans="1:7" x14ac:dyDescent="0.3">
      <c r="A101" s="8"/>
      <c r="B101" s="1"/>
      <c r="C101" s="1"/>
      <c r="D101" s="1"/>
      <c r="E101" s="2"/>
      <c r="F101" s="2"/>
      <c r="G101" s="2"/>
    </row>
    <row r="102" spans="1:7" x14ac:dyDescent="0.3">
      <c r="A102" s="8"/>
      <c r="B102" s="1"/>
      <c r="C102" s="1"/>
      <c r="D102" s="1"/>
      <c r="E102" s="2"/>
      <c r="F102" s="2"/>
      <c r="G102" s="2"/>
    </row>
    <row r="103" spans="1:7" x14ac:dyDescent="0.3">
      <c r="A103" s="8"/>
      <c r="B103" s="1"/>
      <c r="C103" s="1"/>
      <c r="D103" s="1"/>
      <c r="E103" s="2"/>
      <c r="F103" s="2"/>
      <c r="G103" s="2"/>
    </row>
    <row r="104" spans="1:7" x14ac:dyDescent="0.3">
      <c r="A104" s="8"/>
      <c r="B104" s="1"/>
      <c r="C104" s="1"/>
      <c r="D104" s="1"/>
      <c r="E104" s="2"/>
      <c r="F104" s="2"/>
      <c r="G104" s="2"/>
    </row>
    <row r="105" spans="1:7" x14ac:dyDescent="0.3">
      <c r="A105" s="8"/>
      <c r="B105" s="1"/>
      <c r="C105" s="1"/>
      <c r="D105" s="1"/>
      <c r="E105" s="2"/>
      <c r="F105" s="2"/>
      <c r="G105" s="2"/>
    </row>
    <row r="106" spans="1:7" x14ac:dyDescent="0.3">
      <c r="A106" s="8"/>
      <c r="B106" s="1"/>
      <c r="C106" s="1"/>
      <c r="D106" s="1"/>
      <c r="E106" s="2"/>
      <c r="F106" s="2"/>
      <c r="G106" s="2"/>
    </row>
    <row r="107" spans="1:7" x14ac:dyDescent="0.3">
      <c r="A107" s="8"/>
      <c r="B107" s="1"/>
      <c r="C107" s="1"/>
      <c r="D107" s="1"/>
      <c r="E107" s="2"/>
      <c r="F107" s="2"/>
      <c r="G107" s="2"/>
    </row>
    <row r="108" spans="1:7" x14ac:dyDescent="0.3">
      <c r="A108" s="8"/>
      <c r="B108" s="1"/>
      <c r="C108" s="1"/>
      <c r="D108" s="1"/>
      <c r="E108" s="2"/>
      <c r="F108" s="2"/>
      <c r="G108" s="2"/>
    </row>
    <row r="109" spans="1:7" x14ac:dyDescent="0.3">
      <c r="A109" s="8"/>
      <c r="B109" s="1"/>
      <c r="C109" s="1"/>
      <c r="D109" s="1"/>
      <c r="E109" s="2"/>
      <c r="F109" s="2"/>
      <c r="G109" s="2"/>
    </row>
    <row r="110" spans="1:7" x14ac:dyDescent="0.3">
      <c r="A110" s="8"/>
      <c r="B110" s="1"/>
      <c r="C110" s="1"/>
      <c r="D110" s="1"/>
      <c r="E110" s="2"/>
      <c r="F110" s="2"/>
      <c r="G110" s="2"/>
    </row>
    <row r="111" spans="1:7" x14ac:dyDescent="0.3">
      <c r="A111" s="8"/>
      <c r="B111" s="1"/>
      <c r="C111" s="1"/>
      <c r="D111" s="1"/>
      <c r="E111" s="2"/>
      <c r="F111" s="2"/>
      <c r="G111" s="2"/>
    </row>
    <row r="112" spans="1:7" x14ac:dyDescent="0.3">
      <c r="A112" s="8"/>
      <c r="B112" s="1"/>
      <c r="C112" s="1"/>
      <c r="D112" s="1"/>
      <c r="E112" s="2"/>
      <c r="F112" s="2"/>
      <c r="G112" s="2"/>
    </row>
    <row r="113" spans="1:7" x14ac:dyDescent="0.3">
      <c r="A113" s="8"/>
      <c r="B113" s="1"/>
      <c r="C113" s="1"/>
      <c r="D113" s="1"/>
      <c r="E113" s="2"/>
      <c r="F113" s="2"/>
      <c r="G113" s="2"/>
    </row>
    <row r="114" spans="1:7" x14ac:dyDescent="0.3">
      <c r="A114" s="8"/>
      <c r="B114" s="1"/>
      <c r="C114" s="1"/>
      <c r="D114" s="1"/>
      <c r="E114" s="2"/>
      <c r="F114" s="2"/>
      <c r="G114" s="2"/>
    </row>
    <row r="115" spans="1:7" x14ac:dyDescent="0.3">
      <c r="A115" s="8"/>
      <c r="B115" s="1"/>
      <c r="C115" s="1"/>
      <c r="D115" s="1"/>
      <c r="E115" s="2"/>
      <c r="F115" s="2"/>
      <c r="G115" s="2"/>
    </row>
    <row r="116" spans="1:7" x14ac:dyDescent="0.3">
      <c r="A116" s="8"/>
      <c r="B116" s="1"/>
      <c r="C116" s="1"/>
      <c r="D116" s="1"/>
      <c r="E116" s="2"/>
      <c r="F116" s="2"/>
      <c r="G116" s="2"/>
    </row>
    <row r="117" spans="1:7" x14ac:dyDescent="0.3">
      <c r="A117" s="8"/>
      <c r="B117" s="1"/>
      <c r="C117" s="1"/>
      <c r="D117" s="1"/>
      <c r="E117" s="2"/>
      <c r="F117" s="2"/>
      <c r="G117" s="2"/>
    </row>
    <row r="118" spans="1:7" x14ac:dyDescent="0.3">
      <c r="A118" s="8"/>
      <c r="B118" s="1"/>
      <c r="C118" s="1"/>
      <c r="D118" s="1"/>
      <c r="E118" s="2"/>
      <c r="F118" s="2"/>
      <c r="G118" s="2"/>
    </row>
    <row r="119" spans="1:7" x14ac:dyDescent="0.3">
      <c r="A119" s="8"/>
      <c r="B119" s="1"/>
      <c r="C119" s="1"/>
      <c r="D119" s="1"/>
      <c r="E119" s="2"/>
      <c r="F119" s="2"/>
      <c r="G119" s="2"/>
    </row>
    <row r="120" spans="1:7" x14ac:dyDescent="0.3">
      <c r="A120" s="8"/>
      <c r="B120" s="1"/>
      <c r="C120" s="1"/>
      <c r="D120" s="1"/>
      <c r="E120" s="2"/>
      <c r="F120" s="2"/>
      <c r="G120" s="2"/>
    </row>
    <row r="121" spans="1:7" x14ac:dyDescent="0.3">
      <c r="A121" s="8"/>
      <c r="B121" s="1"/>
      <c r="C121" s="1"/>
      <c r="D121" s="1"/>
      <c r="E121" s="2"/>
      <c r="F121" s="2"/>
      <c r="G121" s="2"/>
    </row>
    <row r="122" spans="1:7" x14ac:dyDescent="0.3">
      <c r="A122" s="8"/>
      <c r="B122" s="1"/>
      <c r="C122" s="1"/>
      <c r="D122" s="1"/>
      <c r="E122" s="2"/>
      <c r="F122" s="2"/>
      <c r="G122" s="2"/>
    </row>
    <row r="123" spans="1:7" x14ac:dyDescent="0.3">
      <c r="A123" s="8"/>
      <c r="B123" s="1"/>
      <c r="C123" s="1"/>
      <c r="D123" s="1"/>
      <c r="E123" s="2"/>
      <c r="F123" s="2"/>
      <c r="G123" s="2"/>
    </row>
    <row r="124" spans="1:7" x14ac:dyDescent="0.3">
      <c r="A124" s="8"/>
      <c r="B124" s="1"/>
      <c r="C124" s="1"/>
      <c r="D124" s="1"/>
      <c r="E124" s="2"/>
      <c r="F124" s="2"/>
      <c r="G124" s="2"/>
    </row>
    <row r="125" spans="1:7" x14ac:dyDescent="0.3">
      <c r="A125" s="8"/>
      <c r="B125" s="1"/>
      <c r="C125" s="1"/>
      <c r="D125" s="1"/>
      <c r="E125" s="2"/>
      <c r="F125" s="2"/>
      <c r="G125" s="2"/>
    </row>
    <row r="126" spans="1:7" x14ac:dyDescent="0.3">
      <c r="A126" s="8"/>
      <c r="B126" s="1"/>
      <c r="C126" s="1"/>
      <c r="D126" s="1"/>
      <c r="E126" s="2"/>
      <c r="F126" s="2"/>
      <c r="G126" s="2"/>
    </row>
    <row r="127" spans="1:7" x14ac:dyDescent="0.3">
      <c r="A127" s="8"/>
      <c r="B127" s="1"/>
      <c r="C127" s="1"/>
      <c r="D127" s="1"/>
      <c r="E127" s="2"/>
      <c r="F127" s="2"/>
      <c r="G127" s="2"/>
    </row>
    <row r="128" spans="1:7" x14ac:dyDescent="0.3">
      <c r="A128" s="8"/>
      <c r="B128" s="1"/>
      <c r="C128" s="1"/>
      <c r="D128" s="1"/>
      <c r="E128" s="2"/>
      <c r="F128" s="2"/>
      <c r="G128" s="2"/>
    </row>
    <row r="129" spans="1:7" x14ac:dyDescent="0.3">
      <c r="A129" s="8"/>
      <c r="B129" s="1"/>
      <c r="C129" s="1"/>
      <c r="D129" s="1"/>
      <c r="E129" s="2"/>
      <c r="F129" s="2"/>
      <c r="G129" s="2"/>
    </row>
    <row r="130" spans="1:7" x14ac:dyDescent="0.3">
      <c r="A130" s="8"/>
      <c r="B130" s="1"/>
      <c r="C130" s="1"/>
      <c r="D130" s="1"/>
      <c r="E130" s="2"/>
      <c r="F130" s="2"/>
      <c r="G130" s="2"/>
    </row>
    <row r="131" spans="1:7" x14ac:dyDescent="0.3">
      <c r="A131" s="8"/>
      <c r="B131" s="1"/>
      <c r="C131" s="1"/>
      <c r="D131" s="1"/>
      <c r="E131" s="2"/>
      <c r="F131" s="2"/>
      <c r="G131" s="2"/>
    </row>
    <row r="132" spans="1:7" x14ac:dyDescent="0.3">
      <c r="A132" s="8"/>
      <c r="B132" s="1"/>
      <c r="C132" s="1"/>
      <c r="D132" s="1"/>
      <c r="E132" s="2"/>
      <c r="F132" s="2"/>
      <c r="G132" s="2"/>
    </row>
    <row r="133" spans="1:7" x14ac:dyDescent="0.3">
      <c r="A133" s="8"/>
      <c r="B133" s="1"/>
      <c r="C133" s="1"/>
      <c r="D133" s="1"/>
      <c r="E133" s="2"/>
      <c r="F133" s="2"/>
      <c r="G133" s="2"/>
    </row>
    <row r="134" spans="1:7" x14ac:dyDescent="0.3">
      <c r="A134" s="8"/>
      <c r="B134" s="1"/>
      <c r="C134" s="1"/>
      <c r="D134" s="1"/>
      <c r="E134" s="2"/>
      <c r="F134" s="2"/>
      <c r="G134" s="2"/>
    </row>
    <row r="135" spans="1:7" x14ac:dyDescent="0.3">
      <c r="A135" s="8"/>
      <c r="B135" s="1"/>
      <c r="C135" s="1"/>
      <c r="D135" s="1"/>
      <c r="E135" s="2"/>
      <c r="F135" s="2"/>
      <c r="G135" s="2"/>
    </row>
    <row r="136" spans="1:7" x14ac:dyDescent="0.3">
      <c r="A136" s="8"/>
      <c r="B136" s="1"/>
      <c r="C136" s="1"/>
      <c r="D136" s="1"/>
      <c r="E136" s="2"/>
      <c r="F136" s="2"/>
      <c r="G136" s="2"/>
    </row>
    <row r="137" spans="1:7" x14ac:dyDescent="0.3">
      <c r="A137" s="8"/>
      <c r="B137" s="1"/>
      <c r="C137" s="1"/>
      <c r="D137" s="1"/>
      <c r="E137" s="2"/>
      <c r="F137" s="2"/>
      <c r="G137" s="2"/>
    </row>
    <row r="138" spans="1:7" x14ac:dyDescent="0.3">
      <c r="A138" s="8"/>
      <c r="B138" s="1"/>
      <c r="C138" s="1"/>
      <c r="D138" s="1"/>
      <c r="E138" s="2"/>
      <c r="F138" s="2"/>
      <c r="G138" s="2"/>
    </row>
    <row r="139" spans="1:7" x14ac:dyDescent="0.3">
      <c r="A139" s="8"/>
      <c r="B139" s="1"/>
      <c r="C139" s="1"/>
      <c r="D139" s="1"/>
      <c r="E139" s="2"/>
      <c r="F139" s="2"/>
      <c r="G139" s="2"/>
    </row>
    <row r="140" spans="1:7" x14ac:dyDescent="0.3">
      <c r="A140" s="8"/>
      <c r="B140" s="1"/>
      <c r="C140" s="1"/>
      <c r="D140" s="1"/>
      <c r="E140" s="2"/>
      <c r="F140" s="2"/>
      <c r="G140" s="2"/>
    </row>
    <row r="141" spans="1:7" x14ac:dyDescent="0.3">
      <c r="A141" s="8"/>
      <c r="B141" s="1"/>
      <c r="C141" s="1"/>
      <c r="D141" s="1"/>
      <c r="E141" s="2"/>
      <c r="F141" s="2"/>
      <c r="G141" s="2"/>
    </row>
    <row r="142" spans="1:7" x14ac:dyDescent="0.3">
      <c r="A142" s="8"/>
      <c r="B142" s="1"/>
      <c r="C142" s="1"/>
      <c r="D142" s="1"/>
      <c r="E142" s="2"/>
      <c r="F142" s="2"/>
      <c r="G142" s="2"/>
    </row>
    <row r="143" spans="1:7" x14ac:dyDescent="0.3">
      <c r="A143" s="8"/>
      <c r="B143" s="1"/>
      <c r="C143" s="1"/>
      <c r="D143" s="1"/>
      <c r="E143" s="2"/>
      <c r="F143" s="2"/>
      <c r="G143" s="2"/>
    </row>
    <row r="144" spans="1:7" x14ac:dyDescent="0.3">
      <c r="A144" s="8"/>
      <c r="B144" s="1"/>
      <c r="C144" s="1"/>
      <c r="D144" s="1"/>
      <c r="E144" s="2"/>
      <c r="F144" s="2"/>
      <c r="G144" s="2"/>
    </row>
    <row r="145" spans="1:7" x14ac:dyDescent="0.3">
      <c r="A145" s="8"/>
      <c r="B145" s="1"/>
      <c r="C145" s="1"/>
      <c r="D145" s="1"/>
      <c r="E145" s="2"/>
      <c r="F145" s="2"/>
      <c r="G145" s="2"/>
    </row>
    <row r="146" spans="1:7" x14ac:dyDescent="0.3">
      <c r="A146" s="8"/>
      <c r="B146" s="1"/>
      <c r="C146" s="1"/>
      <c r="D146" s="1"/>
      <c r="E146" s="2"/>
      <c r="F146" s="2"/>
      <c r="G146" s="2"/>
    </row>
    <row r="147" spans="1:7" x14ac:dyDescent="0.3">
      <c r="A147" s="8"/>
      <c r="B147" s="1"/>
      <c r="C147" s="1"/>
      <c r="D147" s="1"/>
      <c r="E147" s="2"/>
      <c r="F147" s="2"/>
      <c r="G147" s="2"/>
    </row>
    <row r="148" spans="1:7" x14ac:dyDescent="0.3">
      <c r="A148" s="8"/>
      <c r="B148" s="1"/>
      <c r="C148" s="1"/>
      <c r="D148" s="1"/>
      <c r="E148" s="2"/>
      <c r="F148" s="2"/>
      <c r="G148" s="2"/>
    </row>
    <row r="149" spans="1:7" x14ac:dyDescent="0.3">
      <c r="A149" s="8"/>
      <c r="B149" s="1"/>
      <c r="C149" s="1"/>
      <c r="D149" s="1"/>
      <c r="E149" s="2"/>
      <c r="F149" s="2"/>
      <c r="G149" s="2"/>
    </row>
    <row r="150" spans="1:7" x14ac:dyDescent="0.3">
      <c r="A150" s="8"/>
      <c r="B150" s="1"/>
      <c r="C150" s="1"/>
      <c r="D150" s="1"/>
      <c r="E150" s="2"/>
      <c r="F150" s="2"/>
      <c r="G150" s="2"/>
    </row>
    <row r="151" spans="1:7" x14ac:dyDescent="0.3">
      <c r="A151" s="8"/>
      <c r="B151" s="1"/>
      <c r="C151" s="1"/>
      <c r="D151" s="1"/>
      <c r="E151" s="2"/>
      <c r="F151" s="2"/>
      <c r="G151" s="2"/>
    </row>
    <row r="152" spans="1:7" x14ac:dyDescent="0.3">
      <c r="A152" s="8"/>
      <c r="B152" s="1"/>
      <c r="C152" s="1"/>
      <c r="D152" s="1"/>
      <c r="E152" s="2"/>
      <c r="F152" s="2"/>
      <c r="G152" s="2"/>
    </row>
    <row r="153" spans="1:7" x14ac:dyDescent="0.3">
      <c r="A153" s="8"/>
      <c r="B153" s="1"/>
      <c r="C153" s="1"/>
      <c r="D153" s="1"/>
      <c r="E153" s="2"/>
      <c r="F153" s="2"/>
      <c r="G153" s="2"/>
    </row>
    <row r="154" spans="1:7" x14ac:dyDescent="0.3">
      <c r="A154" s="8"/>
      <c r="B154" s="1"/>
      <c r="C154" s="1"/>
      <c r="D154" s="1"/>
      <c r="E154" s="2"/>
      <c r="F154" s="2"/>
      <c r="G154" s="2"/>
    </row>
    <row r="155" spans="1:7" x14ac:dyDescent="0.3">
      <c r="A155" s="8"/>
      <c r="B155" s="1"/>
      <c r="C155" s="1"/>
      <c r="D155" s="1"/>
      <c r="E155" s="2"/>
      <c r="F155" s="2"/>
      <c r="G155" s="2"/>
    </row>
    <row r="156" spans="1:7" x14ac:dyDescent="0.3">
      <c r="A156" s="8"/>
      <c r="B156" s="1"/>
      <c r="C156" s="1"/>
      <c r="D156" s="1"/>
      <c r="E156" s="2"/>
      <c r="F156" s="2"/>
      <c r="G156" s="2"/>
    </row>
    <row r="157" spans="1:7" x14ac:dyDescent="0.3">
      <c r="A157" s="8"/>
      <c r="B157" s="1"/>
      <c r="C157" s="1"/>
      <c r="D157" s="1"/>
      <c r="E157" s="2"/>
      <c r="F157" s="2"/>
      <c r="G157" s="2"/>
    </row>
    <row r="158" spans="1:7" x14ac:dyDescent="0.3">
      <c r="A158" s="8"/>
      <c r="B158" s="1"/>
      <c r="C158" s="1"/>
      <c r="D158" s="1"/>
      <c r="E158" s="2"/>
      <c r="F158" s="2"/>
      <c r="G158" s="2"/>
    </row>
    <row r="159" spans="1:7" x14ac:dyDescent="0.3">
      <c r="A159" s="8"/>
      <c r="B159" s="1"/>
      <c r="C159" s="1"/>
      <c r="D159" s="1"/>
      <c r="E159" s="2"/>
      <c r="F159" s="2"/>
      <c r="G159" s="2"/>
    </row>
    <row r="160" spans="1:7" x14ac:dyDescent="0.3">
      <c r="A160" s="8"/>
      <c r="B160" s="1"/>
      <c r="C160" s="1"/>
      <c r="D160" s="1"/>
      <c r="E160" s="2"/>
      <c r="F160" s="2"/>
      <c r="G160" s="2"/>
    </row>
    <row r="161" spans="1:7" x14ac:dyDescent="0.3">
      <c r="A161" s="8"/>
      <c r="B161" s="1"/>
      <c r="C161" s="1"/>
      <c r="D161" s="1"/>
      <c r="E161" s="2"/>
      <c r="F161" s="2"/>
      <c r="G161" s="2"/>
    </row>
    <row r="162" spans="1:7" x14ac:dyDescent="0.3">
      <c r="A162" s="8"/>
      <c r="B162" s="1"/>
      <c r="C162" s="1"/>
      <c r="D162" s="1"/>
      <c r="E162" s="2"/>
      <c r="F162" s="2"/>
      <c r="G162" s="2"/>
    </row>
    <row r="163" spans="1:7" x14ac:dyDescent="0.3">
      <c r="A163" s="8"/>
      <c r="B163" s="1"/>
      <c r="C163" s="1"/>
      <c r="D163" s="1"/>
      <c r="E163" s="2"/>
      <c r="F163" s="2"/>
      <c r="G163" s="2"/>
    </row>
    <row r="164" spans="1:7" x14ac:dyDescent="0.3">
      <c r="A164" s="8"/>
      <c r="B164" s="1"/>
      <c r="C164" s="1"/>
      <c r="D164" s="1"/>
      <c r="E164" s="2"/>
      <c r="F164" s="2"/>
      <c r="G164" s="2"/>
    </row>
    <row r="165" spans="1:7" x14ac:dyDescent="0.3">
      <c r="A165" s="8"/>
      <c r="B165" s="1"/>
      <c r="C165" s="1"/>
      <c r="D165" s="1"/>
      <c r="E165" s="2"/>
      <c r="F165" s="2"/>
      <c r="G165" s="2"/>
    </row>
    <row r="166" spans="1:7" x14ac:dyDescent="0.3">
      <c r="A166" s="8"/>
      <c r="B166" s="1"/>
      <c r="C166" s="1"/>
      <c r="D166" s="1"/>
      <c r="E166" s="2"/>
      <c r="F166" s="2"/>
      <c r="G166" s="2"/>
    </row>
    <row r="167" spans="1:7" x14ac:dyDescent="0.3">
      <c r="A167" s="8"/>
      <c r="B167" s="1"/>
      <c r="C167" s="1"/>
      <c r="D167" s="1"/>
      <c r="E167" s="2"/>
      <c r="F167" s="2"/>
      <c r="G167" s="2"/>
    </row>
    <row r="168" spans="1:7" x14ac:dyDescent="0.3">
      <c r="A168" s="8"/>
      <c r="B168" s="1"/>
      <c r="C168" s="1"/>
      <c r="D168" s="1"/>
      <c r="E168" s="2"/>
      <c r="F168" s="2"/>
      <c r="G168" s="2"/>
    </row>
    <row r="169" spans="1:7" x14ac:dyDescent="0.3">
      <c r="A169" s="8"/>
      <c r="B169" s="1"/>
      <c r="C169" s="1"/>
      <c r="D169" s="1"/>
      <c r="E169" s="2"/>
      <c r="F169" s="2"/>
      <c r="G169" s="2"/>
    </row>
    <row r="170" spans="1:7" x14ac:dyDescent="0.3">
      <c r="A170" s="8"/>
      <c r="B170" s="1"/>
      <c r="C170" s="1"/>
      <c r="D170" s="1"/>
      <c r="E170" s="2"/>
      <c r="F170" s="2"/>
      <c r="G170" s="2"/>
    </row>
    <row r="171" spans="1:7" x14ac:dyDescent="0.3">
      <c r="A171" s="8"/>
      <c r="B171" s="1"/>
      <c r="C171" s="1"/>
      <c r="D171" s="1"/>
      <c r="E171" s="2"/>
      <c r="F171" s="2"/>
      <c r="G171" s="2"/>
    </row>
    <row r="172" spans="1:7" x14ac:dyDescent="0.3">
      <c r="A172" s="8"/>
      <c r="B172" s="1"/>
      <c r="C172" s="1"/>
      <c r="D172" s="1"/>
      <c r="E172" s="2"/>
      <c r="F172" s="2"/>
      <c r="G172" s="2"/>
    </row>
    <row r="173" spans="1:7" x14ac:dyDescent="0.3">
      <c r="A173" s="8"/>
      <c r="B173" s="1"/>
      <c r="C173" s="1"/>
      <c r="D173" s="1"/>
      <c r="E173" s="2"/>
      <c r="F173" s="2"/>
      <c r="G173" s="2"/>
    </row>
    <row r="174" spans="1:7" x14ac:dyDescent="0.3">
      <c r="A174" s="8"/>
      <c r="B174" s="1"/>
      <c r="C174" s="1"/>
      <c r="D174" s="1"/>
      <c r="E174" s="2"/>
      <c r="F174" s="2"/>
      <c r="G174" s="2"/>
    </row>
    <row r="175" spans="1:7" x14ac:dyDescent="0.3">
      <c r="A175" s="8"/>
      <c r="B175" s="1"/>
      <c r="C175" s="1"/>
      <c r="D175" s="1"/>
      <c r="E175" s="2"/>
      <c r="F175" s="2"/>
      <c r="G175" s="2"/>
    </row>
    <row r="176" spans="1:7" x14ac:dyDescent="0.3">
      <c r="A176" s="8"/>
      <c r="B176" s="1"/>
      <c r="C176" s="1"/>
      <c r="D176" s="1"/>
      <c r="E176" s="2"/>
      <c r="F176" s="2"/>
      <c r="G176" s="2"/>
    </row>
    <row r="177" spans="1:7" x14ac:dyDescent="0.3">
      <c r="A177" s="8"/>
      <c r="B177" s="1"/>
      <c r="C177" s="1"/>
      <c r="D177" s="1"/>
      <c r="E177" s="2"/>
      <c r="F177" s="2"/>
      <c r="G177" s="2"/>
    </row>
    <row r="178" spans="1:7" x14ac:dyDescent="0.3">
      <c r="A178" s="8"/>
      <c r="B178" s="1"/>
      <c r="C178" s="1"/>
      <c r="D178" s="1"/>
      <c r="E178" s="2"/>
      <c r="F178" s="2"/>
      <c r="G178" s="2"/>
    </row>
    <row r="179" spans="1:7" x14ac:dyDescent="0.3">
      <c r="A179" s="8"/>
      <c r="B179" s="1"/>
      <c r="C179" s="1"/>
      <c r="D179" s="1"/>
      <c r="E179" s="2"/>
      <c r="F179" s="2"/>
      <c r="G179" s="2"/>
    </row>
    <row r="180" spans="1:7" x14ac:dyDescent="0.3">
      <c r="A180" s="8"/>
      <c r="B180" s="1"/>
      <c r="C180" s="1"/>
      <c r="D180" s="1"/>
      <c r="E180" s="2"/>
      <c r="F180" s="2"/>
      <c r="G180" s="2"/>
    </row>
    <row r="181" spans="1:7" x14ac:dyDescent="0.3">
      <c r="A181" s="8"/>
      <c r="B181" s="1"/>
      <c r="C181" s="1"/>
      <c r="D181" s="1"/>
      <c r="E181" s="2"/>
      <c r="F181" s="2"/>
      <c r="G181" s="2"/>
    </row>
    <row r="182" spans="1:7" x14ac:dyDescent="0.3">
      <c r="A182" s="8"/>
      <c r="B182" s="1"/>
      <c r="C182" s="1"/>
      <c r="D182" s="1"/>
      <c r="E182" s="2"/>
      <c r="F182" s="2"/>
      <c r="G182" s="2"/>
    </row>
    <row r="183" spans="1:7" x14ac:dyDescent="0.3">
      <c r="A183" s="8"/>
      <c r="B183" s="1"/>
      <c r="C183" s="1"/>
      <c r="D183" s="1"/>
      <c r="E183" s="2"/>
      <c r="F183" s="2"/>
      <c r="G183" s="2"/>
    </row>
    <row r="184" spans="1:7" x14ac:dyDescent="0.3">
      <c r="A184" s="8"/>
      <c r="B184" s="1"/>
      <c r="C184" s="1"/>
      <c r="D184" s="1"/>
      <c r="E184" s="2"/>
      <c r="F184" s="2"/>
      <c r="G184" s="2"/>
    </row>
    <row r="185" spans="1:7" x14ac:dyDescent="0.3">
      <c r="A185" s="8"/>
      <c r="B185" s="1"/>
      <c r="C185" s="1"/>
      <c r="D185" s="1"/>
      <c r="E185" s="2"/>
      <c r="F185" s="2"/>
      <c r="G185" s="2"/>
    </row>
    <row r="186" spans="1:7" x14ac:dyDescent="0.3">
      <c r="A186" s="8"/>
      <c r="B186" s="1"/>
      <c r="C186" s="1"/>
      <c r="D186" s="1"/>
      <c r="E186" s="2"/>
      <c r="F186" s="2"/>
      <c r="G186" s="2"/>
    </row>
    <row r="187" spans="1:7" x14ac:dyDescent="0.3">
      <c r="A187" s="8"/>
      <c r="B187" s="1"/>
      <c r="C187" s="1"/>
      <c r="D187" s="1"/>
      <c r="E187" s="2"/>
      <c r="F187" s="2"/>
      <c r="G187" s="2"/>
    </row>
    <row r="188" spans="1:7" x14ac:dyDescent="0.3">
      <c r="A188" s="8"/>
      <c r="B188" s="1"/>
      <c r="C188" s="1"/>
      <c r="D188" s="1"/>
      <c r="E188" s="2"/>
      <c r="F188" s="2"/>
      <c r="G188" s="2"/>
    </row>
    <row r="189" spans="1:7" x14ac:dyDescent="0.3">
      <c r="A189" s="8"/>
      <c r="B189" s="1"/>
      <c r="C189" s="1"/>
      <c r="D189" s="1"/>
      <c r="E189" s="2"/>
      <c r="F189" s="2"/>
      <c r="G189" s="2"/>
    </row>
    <row r="190" spans="1:7" x14ac:dyDescent="0.3">
      <c r="A190" s="8"/>
      <c r="B190" s="1"/>
      <c r="C190" s="1"/>
      <c r="D190" s="1"/>
      <c r="E190" s="2"/>
      <c r="F190" s="2"/>
      <c r="G190" s="2"/>
    </row>
    <row r="191" spans="1:7" x14ac:dyDescent="0.3">
      <c r="A191" s="8"/>
      <c r="B191" s="1"/>
      <c r="C191" s="1"/>
      <c r="D191" s="1"/>
      <c r="E191" s="2"/>
      <c r="F191" s="2"/>
      <c r="G191" s="2"/>
    </row>
    <row r="192" spans="1:7" x14ac:dyDescent="0.3">
      <c r="A192" s="8"/>
      <c r="B192" s="1"/>
      <c r="C192" s="1"/>
      <c r="D192" s="1"/>
      <c r="E192" s="2"/>
      <c r="F192" s="2"/>
      <c r="G192" s="2"/>
    </row>
    <row r="193" spans="1:7" x14ac:dyDescent="0.3">
      <c r="A193" s="8"/>
      <c r="B193" s="1"/>
      <c r="C193" s="1"/>
      <c r="D193" s="1"/>
      <c r="E193" s="2"/>
      <c r="F193" s="2"/>
      <c r="G193" s="2"/>
    </row>
    <row r="194" spans="1:7" x14ac:dyDescent="0.3">
      <c r="A194" s="8"/>
      <c r="B194" s="1"/>
      <c r="C194" s="1"/>
      <c r="D194" s="1"/>
      <c r="E194" s="2"/>
      <c r="F194" s="2"/>
      <c r="G194" s="2"/>
    </row>
    <row r="195" spans="1:7" x14ac:dyDescent="0.3">
      <c r="A195" s="8"/>
      <c r="B195" s="1"/>
      <c r="C195" s="1"/>
      <c r="D195" s="1"/>
      <c r="E195" s="2"/>
      <c r="F195" s="2"/>
      <c r="G195" s="2"/>
    </row>
    <row r="196" spans="1:7" x14ac:dyDescent="0.3">
      <c r="A196" s="8"/>
      <c r="B196" s="1"/>
      <c r="C196" s="1"/>
      <c r="D196" s="1"/>
      <c r="E196" s="2"/>
      <c r="F196" s="2"/>
      <c r="G196" s="2"/>
    </row>
    <row r="197" spans="1:7" x14ac:dyDescent="0.3">
      <c r="A197" s="8"/>
      <c r="B197" s="1"/>
      <c r="C197" s="1"/>
      <c r="D197" s="1"/>
      <c r="E197" s="2"/>
      <c r="F197" s="2"/>
      <c r="G197" s="2"/>
    </row>
    <row r="198" spans="1:7" x14ac:dyDescent="0.3">
      <c r="A198" s="8"/>
      <c r="B198" s="1"/>
      <c r="C198" s="1"/>
      <c r="D198" s="1"/>
      <c r="E198" s="2"/>
      <c r="F198" s="2"/>
      <c r="G198" s="2"/>
    </row>
    <row r="199" spans="1:7" x14ac:dyDescent="0.3">
      <c r="A199" s="8"/>
      <c r="B199" s="1"/>
      <c r="C199" s="1"/>
      <c r="D199" s="1"/>
      <c r="E199" s="2"/>
      <c r="F199" s="2"/>
      <c r="G199" s="2"/>
    </row>
    <row r="200" spans="1:7" x14ac:dyDescent="0.3">
      <c r="A200" s="8"/>
      <c r="B200" s="1"/>
      <c r="C200" s="1"/>
      <c r="D200" s="1"/>
      <c r="E200" s="2"/>
      <c r="F200" s="2"/>
      <c r="G200" s="2"/>
    </row>
    <row r="201" spans="1:7" x14ac:dyDescent="0.3">
      <c r="A201" s="8"/>
      <c r="B201" s="1"/>
      <c r="C201" s="1"/>
      <c r="D201" s="1"/>
      <c r="E201" s="2"/>
      <c r="F201" s="2"/>
      <c r="G201" s="2"/>
    </row>
    <row r="202" spans="1:7" x14ac:dyDescent="0.3">
      <c r="A202" s="8"/>
      <c r="B202" s="1"/>
      <c r="C202" s="1"/>
      <c r="D202" s="1"/>
      <c r="E202" s="2"/>
      <c r="F202" s="2"/>
      <c r="G202" s="2"/>
    </row>
    <row r="203" spans="1:7" x14ac:dyDescent="0.3">
      <c r="A203" s="8"/>
      <c r="B203" s="1"/>
      <c r="C203" s="1"/>
      <c r="D203" s="1"/>
      <c r="E203" s="2"/>
      <c r="F203" s="2"/>
      <c r="G203" s="2"/>
    </row>
    <row r="204" spans="1:7" x14ac:dyDescent="0.3">
      <c r="A204" s="8"/>
      <c r="B204" s="1"/>
      <c r="C204" s="1"/>
      <c r="D204" s="1"/>
      <c r="E204" s="2"/>
      <c r="F204" s="2"/>
      <c r="G204" s="2"/>
    </row>
    <row r="205" spans="1:7" x14ac:dyDescent="0.3">
      <c r="A205" s="8"/>
      <c r="B205" s="1"/>
      <c r="C205" s="1"/>
      <c r="D205" s="1"/>
      <c r="E205" s="2"/>
      <c r="F205" s="2"/>
      <c r="G205" s="2"/>
    </row>
    <row r="206" spans="1:7" x14ac:dyDescent="0.3">
      <c r="A206" s="8"/>
      <c r="B206" s="1"/>
      <c r="C206" s="1"/>
      <c r="D206" s="1"/>
      <c r="E206" s="2"/>
      <c r="F206" s="2"/>
      <c r="G206" s="2"/>
    </row>
    <row r="207" spans="1:7" x14ac:dyDescent="0.3">
      <c r="A207" s="8"/>
      <c r="B207" s="1"/>
      <c r="C207" s="1"/>
      <c r="D207" s="1"/>
      <c r="E207" s="2"/>
      <c r="F207" s="2"/>
      <c r="G207" s="2"/>
    </row>
    <row r="208" spans="1:7" x14ac:dyDescent="0.3">
      <c r="A208" s="8"/>
      <c r="B208" s="1"/>
      <c r="C208" s="1"/>
      <c r="D208" s="1"/>
      <c r="E208" s="2"/>
      <c r="F208" s="2"/>
      <c r="G208" s="2"/>
    </row>
    <row r="209" spans="1:7" x14ac:dyDescent="0.3">
      <c r="A209" s="8"/>
      <c r="B209" s="1"/>
      <c r="C209" s="1"/>
      <c r="D209" s="1"/>
      <c r="E209" s="2"/>
      <c r="F209" s="2"/>
      <c r="G209" s="2"/>
    </row>
    <row r="210" spans="1:7" x14ac:dyDescent="0.3">
      <c r="A210" s="8"/>
      <c r="B210" s="1"/>
      <c r="C210" s="1"/>
      <c r="D210" s="1"/>
      <c r="E210" s="2"/>
      <c r="F210" s="2"/>
      <c r="G210" s="2"/>
    </row>
    <row r="211" spans="1:7" x14ac:dyDescent="0.3">
      <c r="A211" s="8"/>
      <c r="B211" s="1"/>
      <c r="C211" s="1"/>
      <c r="D211" s="1"/>
      <c r="E211" s="2"/>
      <c r="F211" s="2"/>
      <c r="G211" s="2"/>
    </row>
    <row r="212" spans="1:7" x14ac:dyDescent="0.3">
      <c r="A212" s="8"/>
      <c r="B212" s="1"/>
      <c r="C212" s="1"/>
      <c r="D212" s="1"/>
      <c r="E212" s="2"/>
      <c r="F212" s="2"/>
      <c r="G212" s="2"/>
    </row>
    <row r="213" spans="1:7" x14ac:dyDescent="0.3">
      <c r="A213" s="8"/>
      <c r="B213" s="1"/>
      <c r="C213" s="1"/>
      <c r="D213" s="1"/>
      <c r="E213" s="2"/>
      <c r="F213" s="2"/>
      <c r="G213" s="2"/>
    </row>
    <row r="214" spans="1:7" x14ac:dyDescent="0.3">
      <c r="A214" s="8"/>
      <c r="B214" s="1"/>
      <c r="C214" s="1"/>
      <c r="D214" s="1"/>
      <c r="E214" s="2"/>
      <c r="F214" s="2"/>
      <c r="G214" s="2"/>
    </row>
    <row r="215" spans="1:7" x14ac:dyDescent="0.3">
      <c r="A215" s="8"/>
      <c r="B215" s="1"/>
      <c r="C215" s="1"/>
      <c r="D215" s="1"/>
      <c r="E215" s="2"/>
      <c r="F215" s="2"/>
      <c r="G215" s="2"/>
    </row>
    <row r="216" spans="1:7" x14ac:dyDescent="0.3">
      <c r="A216" s="8"/>
      <c r="B216" s="1"/>
      <c r="C216" s="1"/>
      <c r="D216" s="1"/>
      <c r="E216" s="2"/>
      <c r="F216" s="2"/>
      <c r="G216" s="2"/>
    </row>
    <row r="217" spans="1:7" x14ac:dyDescent="0.3">
      <c r="A217" s="8"/>
      <c r="B217" s="1"/>
      <c r="C217" s="1"/>
      <c r="D217" s="1"/>
      <c r="E217" s="2"/>
      <c r="F217" s="2"/>
      <c r="G217" s="2"/>
    </row>
    <row r="218" spans="1:7" x14ac:dyDescent="0.3">
      <c r="A218" s="8"/>
      <c r="B218" s="1"/>
      <c r="C218" s="1"/>
      <c r="D218" s="1"/>
      <c r="E218" s="2"/>
      <c r="F218" s="2"/>
      <c r="G218" s="2"/>
    </row>
    <row r="219" spans="1:7" x14ac:dyDescent="0.3">
      <c r="A219" s="8"/>
      <c r="B219" s="1"/>
      <c r="C219" s="1"/>
      <c r="D219" s="1"/>
      <c r="E219" s="2"/>
      <c r="F219" s="2"/>
      <c r="G219" s="2"/>
    </row>
    <row r="220" spans="1:7" x14ac:dyDescent="0.3">
      <c r="A220" s="8"/>
      <c r="B220" s="1"/>
      <c r="C220" s="1"/>
      <c r="D220" s="1"/>
      <c r="E220" s="2"/>
      <c r="F220" s="2"/>
      <c r="G220" s="2"/>
    </row>
    <row r="221" spans="1:7" x14ac:dyDescent="0.3">
      <c r="A221" s="8"/>
      <c r="B221" s="1"/>
      <c r="C221" s="1"/>
      <c r="D221" s="1"/>
      <c r="E221" s="2"/>
      <c r="F221" s="2"/>
      <c r="G221" s="2"/>
    </row>
    <row r="222" spans="1:7" x14ac:dyDescent="0.3">
      <c r="A222" s="8"/>
      <c r="B222" s="1"/>
      <c r="C222" s="1"/>
      <c r="D222" s="1"/>
      <c r="E222" s="2"/>
      <c r="F222" s="2"/>
      <c r="G222" s="2"/>
    </row>
    <row r="223" spans="1:7" x14ac:dyDescent="0.3">
      <c r="A223" s="8"/>
      <c r="B223" s="1"/>
      <c r="C223" s="1"/>
      <c r="D223" s="1"/>
      <c r="E223" s="2"/>
      <c r="F223" s="2"/>
      <c r="G223" s="2"/>
    </row>
    <row r="224" spans="1:7" x14ac:dyDescent="0.3">
      <c r="A224" s="8"/>
      <c r="B224" s="1"/>
      <c r="C224" s="1"/>
      <c r="D224" s="1"/>
      <c r="E224" s="2"/>
      <c r="F224" s="2"/>
      <c r="G224" s="2"/>
    </row>
    <row r="225" spans="1:7" x14ac:dyDescent="0.3">
      <c r="A225" s="8"/>
      <c r="B225" s="1"/>
      <c r="C225" s="1"/>
      <c r="D225" s="1"/>
      <c r="E225" s="2"/>
      <c r="F225" s="2"/>
      <c r="G225" s="2"/>
    </row>
    <row r="226" spans="1:7" x14ac:dyDescent="0.3">
      <c r="A226" s="8"/>
      <c r="B226" s="1"/>
      <c r="C226" s="1"/>
      <c r="D226" s="1"/>
      <c r="E226" s="2"/>
      <c r="F226" s="2"/>
      <c r="G226" s="2"/>
    </row>
    <row r="227" spans="1:7" x14ac:dyDescent="0.3">
      <c r="A227" s="8"/>
      <c r="B227" s="1"/>
      <c r="C227" s="1"/>
      <c r="D227" s="1"/>
      <c r="E227" s="2"/>
      <c r="F227" s="2"/>
      <c r="G227" s="2"/>
    </row>
    <row r="228" spans="1:7" x14ac:dyDescent="0.3">
      <c r="A228" s="8"/>
      <c r="B228" s="1"/>
      <c r="C228" s="1"/>
      <c r="D228" s="1"/>
      <c r="E228" s="2"/>
      <c r="F228" s="2"/>
      <c r="G228" s="2"/>
    </row>
    <row r="229" spans="1:7" x14ac:dyDescent="0.3">
      <c r="A229" s="8"/>
      <c r="B229" s="1"/>
      <c r="C229" s="1"/>
      <c r="D229" s="1"/>
      <c r="E229" s="2"/>
      <c r="F229" s="2"/>
      <c r="G229" s="2"/>
    </row>
    <row r="230" spans="1:7" x14ac:dyDescent="0.3">
      <c r="A230" s="8"/>
      <c r="B230" s="1"/>
      <c r="C230" s="1"/>
      <c r="D230" s="1"/>
      <c r="E230" s="2"/>
      <c r="F230" s="2"/>
      <c r="G230" s="2"/>
    </row>
    <row r="231" spans="1:7" x14ac:dyDescent="0.3">
      <c r="A231" s="8"/>
      <c r="B231" s="1"/>
      <c r="C231" s="1"/>
      <c r="D231" s="1"/>
      <c r="E231" s="2"/>
      <c r="F231" s="2"/>
      <c r="G231" s="2"/>
    </row>
    <row r="232" spans="1:7" x14ac:dyDescent="0.3">
      <c r="A232" s="8"/>
      <c r="B232" s="1"/>
      <c r="C232" s="1"/>
      <c r="D232" s="1"/>
      <c r="E232" s="2"/>
      <c r="F232" s="2"/>
      <c r="G232" s="2"/>
    </row>
    <row r="233" spans="1:7" x14ac:dyDescent="0.3">
      <c r="A233" s="8"/>
      <c r="B233" s="1"/>
      <c r="C233" s="1"/>
      <c r="D233" s="1"/>
      <c r="E233" s="2"/>
      <c r="F233" s="2"/>
      <c r="G233" s="2"/>
    </row>
    <row r="234" spans="1:7" x14ac:dyDescent="0.3">
      <c r="A234" s="8"/>
      <c r="B234" s="1"/>
      <c r="C234" s="1"/>
      <c r="D234" s="1"/>
      <c r="E234" s="2"/>
      <c r="F234" s="2"/>
      <c r="G234" s="2"/>
    </row>
    <row r="235" spans="1:7" x14ac:dyDescent="0.3">
      <c r="A235" s="8"/>
      <c r="B235" s="1"/>
      <c r="C235" s="1"/>
      <c r="D235" s="1"/>
      <c r="E235" s="2"/>
      <c r="F235" s="2"/>
      <c r="G235" s="2"/>
    </row>
    <row r="236" spans="1:7" x14ac:dyDescent="0.3">
      <c r="A236" s="8"/>
      <c r="B236" s="1"/>
      <c r="C236" s="1"/>
      <c r="D236" s="1"/>
      <c r="E236" s="2"/>
      <c r="F236" s="2"/>
      <c r="G236" s="2"/>
    </row>
    <row r="237" spans="1:7" x14ac:dyDescent="0.3">
      <c r="A237" s="8"/>
      <c r="B237" s="1"/>
      <c r="C237" s="1"/>
      <c r="D237" s="1"/>
      <c r="E237" s="2"/>
      <c r="F237" s="2"/>
      <c r="G237" s="2"/>
    </row>
    <row r="238" spans="1:7" x14ac:dyDescent="0.3">
      <c r="A238" s="8"/>
      <c r="B238" s="1"/>
      <c r="C238" s="1"/>
      <c r="D238" s="1"/>
      <c r="E238" s="2"/>
      <c r="F238" s="2"/>
      <c r="G238" s="2"/>
    </row>
    <row r="239" spans="1:7" x14ac:dyDescent="0.3">
      <c r="A239" s="8"/>
      <c r="B239" s="1"/>
      <c r="C239" s="1"/>
      <c r="D239" s="1"/>
      <c r="E239" s="2"/>
      <c r="F239" s="2"/>
      <c r="G239" s="2"/>
    </row>
    <row r="240" spans="1:7" x14ac:dyDescent="0.3">
      <c r="A240" s="8"/>
      <c r="B240" s="1"/>
      <c r="C240" s="1"/>
      <c r="D240" s="1"/>
      <c r="E240" s="2"/>
      <c r="F240" s="2"/>
      <c r="G240" s="2"/>
    </row>
    <row r="241" spans="1:7" x14ac:dyDescent="0.3">
      <c r="A241" s="8"/>
      <c r="B241" s="1"/>
      <c r="C241" s="1"/>
      <c r="D241" s="1"/>
      <c r="E241" s="2"/>
      <c r="F241" s="2"/>
      <c r="G241" s="2"/>
    </row>
    <row r="242" spans="1:7" x14ac:dyDescent="0.3">
      <c r="A242" s="8"/>
      <c r="B242" s="1"/>
      <c r="C242" s="1"/>
      <c r="D242" s="1"/>
      <c r="E242" s="2"/>
      <c r="F242" s="2"/>
      <c r="G242" s="2"/>
    </row>
    <row r="243" spans="1:7" x14ac:dyDescent="0.3">
      <c r="A243" s="8"/>
      <c r="B243" s="1"/>
      <c r="C243" s="1"/>
      <c r="D243" s="1"/>
      <c r="E243" s="2"/>
      <c r="F243" s="2"/>
      <c r="G243" s="2"/>
    </row>
    <row r="244" spans="1:7" x14ac:dyDescent="0.3">
      <c r="A244" s="8"/>
      <c r="B244" s="1"/>
      <c r="C244" s="1"/>
      <c r="D244" s="1"/>
      <c r="E244" s="2"/>
      <c r="F244" s="2"/>
      <c r="G244" s="2"/>
    </row>
    <row r="245" spans="1:7" x14ac:dyDescent="0.3">
      <c r="A245" s="8"/>
      <c r="B245" s="1"/>
      <c r="C245" s="1"/>
      <c r="D245" s="1"/>
      <c r="E245" s="2"/>
      <c r="F245" s="2"/>
      <c r="G245" s="2"/>
    </row>
    <row r="246" spans="1:7" x14ac:dyDescent="0.3">
      <c r="A246" s="8"/>
      <c r="B246" s="1"/>
      <c r="C246" s="1"/>
      <c r="D246" s="1"/>
      <c r="E246" s="2"/>
      <c r="F246" s="2"/>
      <c r="G246" s="2"/>
    </row>
    <row r="247" spans="1:7" x14ac:dyDescent="0.3">
      <c r="A247" s="8"/>
      <c r="B247" s="1"/>
      <c r="C247" s="1"/>
      <c r="D247" s="1"/>
      <c r="E247" s="2"/>
      <c r="F247" s="2"/>
      <c r="G247" s="2"/>
    </row>
    <row r="248" spans="1:7" x14ac:dyDescent="0.3">
      <c r="A248" s="8"/>
      <c r="B248" s="1"/>
      <c r="C248" s="1"/>
      <c r="D248" s="1"/>
      <c r="E248" s="2"/>
      <c r="F248" s="2"/>
      <c r="G248" s="2"/>
    </row>
    <row r="249" spans="1:7" x14ac:dyDescent="0.3">
      <c r="A249" s="8"/>
      <c r="B249" s="1"/>
      <c r="C249" s="1"/>
      <c r="D249" s="1"/>
      <c r="E249" s="2"/>
      <c r="F249" s="2"/>
      <c r="G249" s="2"/>
    </row>
    <row r="250" spans="1:7" x14ac:dyDescent="0.3">
      <c r="A250" s="8"/>
      <c r="B250" s="1"/>
      <c r="C250" s="1"/>
      <c r="D250" s="1"/>
      <c r="E250" s="2"/>
      <c r="F250" s="2"/>
      <c r="G250" s="2"/>
    </row>
    <row r="251" spans="1:7" x14ac:dyDescent="0.3">
      <c r="A251" s="8"/>
      <c r="B251" s="1"/>
      <c r="C251" s="1"/>
      <c r="D251" s="1"/>
      <c r="E251" s="2"/>
      <c r="F251" s="2"/>
      <c r="G251" s="2"/>
    </row>
    <row r="252" spans="1:7" x14ac:dyDescent="0.3">
      <c r="A252" s="8"/>
      <c r="B252" s="1"/>
      <c r="C252" s="1"/>
      <c r="D252" s="1"/>
      <c r="E252" s="2"/>
      <c r="F252" s="2"/>
      <c r="G252" s="2"/>
    </row>
    <row r="253" spans="1:7" x14ac:dyDescent="0.3">
      <c r="A253" s="8"/>
      <c r="B253" s="1"/>
      <c r="C253" s="1"/>
      <c r="D253" s="1"/>
      <c r="E253" s="2"/>
      <c r="F253" s="2"/>
      <c r="G253" s="2"/>
    </row>
    <row r="254" spans="1:7" x14ac:dyDescent="0.3">
      <c r="A254" s="8"/>
      <c r="B254" s="1"/>
      <c r="C254" s="1"/>
      <c r="D254" s="1"/>
      <c r="E254" s="2"/>
      <c r="F254" s="2"/>
      <c r="G254" s="2"/>
    </row>
    <row r="255" spans="1:7" x14ac:dyDescent="0.3">
      <c r="A255" s="8"/>
      <c r="B255" s="1"/>
      <c r="C255" s="1"/>
      <c r="D255" s="1"/>
      <c r="E255" s="2"/>
      <c r="F255" s="2"/>
      <c r="G255" s="2"/>
    </row>
    <row r="256" spans="1:7" x14ac:dyDescent="0.3">
      <c r="A256" s="8"/>
      <c r="B256" s="1"/>
      <c r="C256" s="1"/>
      <c r="D256" s="1"/>
      <c r="E256" s="2"/>
      <c r="F256" s="2"/>
      <c r="G256" s="2"/>
    </row>
    <row r="257" spans="1:7" x14ac:dyDescent="0.3">
      <c r="A257" s="8"/>
      <c r="B257" s="1"/>
      <c r="C257" s="1"/>
      <c r="D257" s="1"/>
      <c r="E257" s="2"/>
      <c r="F257" s="2"/>
      <c r="G257" s="2"/>
    </row>
    <row r="258" spans="1:7" x14ac:dyDescent="0.3">
      <c r="A258" s="8"/>
      <c r="B258" s="1"/>
      <c r="C258" s="1"/>
      <c r="D258" s="1"/>
      <c r="E258" s="2"/>
      <c r="F258" s="2"/>
      <c r="G258" s="2"/>
    </row>
    <row r="259" spans="1:7" x14ac:dyDescent="0.3">
      <c r="A259" s="8"/>
      <c r="B259" s="1"/>
      <c r="C259" s="1"/>
      <c r="D259" s="1"/>
      <c r="E259" s="2"/>
      <c r="F259" s="2"/>
      <c r="G259" s="2"/>
    </row>
    <row r="260" spans="1:7" x14ac:dyDescent="0.3">
      <c r="A260" s="8"/>
      <c r="B260" s="1"/>
      <c r="C260" s="1"/>
      <c r="D260" s="1"/>
      <c r="E260" s="2"/>
      <c r="F260" s="2"/>
      <c r="G260" s="2"/>
    </row>
    <row r="261" spans="1:7" x14ac:dyDescent="0.3">
      <c r="A261" s="8"/>
      <c r="B261" s="1"/>
      <c r="C261" s="1"/>
      <c r="D261" s="1"/>
      <c r="E261" s="2"/>
      <c r="F261" s="2"/>
      <c r="G261" s="2"/>
    </row>
    <row r="262" spans="1:7" x14ac:dyDescent="0.3">
      <c r="A262" s="8"/>
      <c r="B262" s="1"/>
      <c r="C262" s="1"/>
      <c r="D262" s="1"/>
      <c r="E262" s="2"/>
      <c r="F262" s="2"/>
      <c r="G262" s="2"/>
    </row>
    <row r="263" spans="1:7" x14ac:dyDescent="0.3">
      <c r="A263" s="8"/>
      <c r="B263" s="1"/>
      <c r="C263" s="1"/>
      <c r="D263" s="1"/>
      <c r="E263" s="2"/>
      <c r="F263" s="2"/>
      <c r="G263" s="2"/>
    </row>
    <row r="264" spans="1:7" x14ac:dyDescent="0.3">
      <c r="A264" s="8"/>
      <c r="B264" s="1"/>
      <c r="C264" s="1"/>
      <c r="D264" s="1"/>
      <c r="E264" s="2"/>
      <c r="F264" s="2"/>
      <c r="G264" s="2"/>
    </row>
    <row r="265" spans="1:7" x14ac:dyDescent="0.3">
      <c r="A265" s="8"/>
      <c r="B265" s="1"/>
      <c r="C265" s="1"/>
      <c r="D265" s="1"/>
      <c r="E265" s="2"/>
      <c r="F265" s="2"/>
      <c r="G265" s="2"/>
    </row>
    <row r="266" spans="1:7" x14ac:dyDescent="0.3">
      <c r="A266" s="8"/>
      <c r="B266" s="1"/>
      <c r="C266" s="1"/>
      <c r="D266" s="1"/>
      <c r="E266" s="2"/>
      <c r="F266" s="2"/>
      <c r="G266" s="2"/>
    </row>
    <row r="267" spans="1:7" x14ac:dyDescent="0.3">
      <c r="A267" s="8"/>
      <c r="B267" s="1"/>
      <c r="C267" s="1"/>
      <c r="D267" s="1"/>
      <c r="E267" s="2"/>
      <c r="F267" s="2"/>
      <c r="G267" s="2"/>
    </row>
    <row r="268" spans="1:7" x14ac:dyDescent="0.3">
      <c r="A268" s="8"/>
      <c r="B268" s="1"/>
      <c r="C268" s="1"/>
      <c r="D268" s="1"/>
      <c r="E268" s="2"/>
      <c r="F268" s="2"/>
      <c r="G268" s="2"/>
    </row>
    <row r="269" spans="1:7" x14ac:dyDescent="0.3">
      <c r="A269" s="8"/>
      <c r="B269" s="1"/>
      <c r="C269" s="1"/>
      <c r="D269" s="1"/>
      <c r="E269" s="2"/>
      <c r="F269" s="2"/>
      <c r="G269" s="2"/>
    </row>
    <row r="270" spans="1:7" x14ac:dyDescent="0.3">
      <c r="A270" s="8"/>
      <c r="B270" s="1"/>
      <c r="C270" s="1"/>
      <c r="D270" s="1"/>
      <c r="E270" s="2"/>
      <c r="F270" s="2"/>
      <c r="G270" s="2"/>
    </row>
    <row r="271" spans="1:7" x14ac:dyDescent="0.3">
      <c r="A271" s="8"/>
      <c r="B271" s="1"/>
      <c r="C271" s="1"/>
      <c r="D271" s="1"/>
      <c r="E271" s="2"/>
      <c r="F271" s="2"/>
      <c r="G271" s="2"/>
    </row>
    <row r="272" spans="1:7" x14ac:dyDescent="0.3">
      <c r="A272" s="8"/>
      <c r="B272" s="1"/>
      <c r="C272" s="1"/>
      <c r="D272" s="1"/>
      <c r="E272" s="2"/>
      <c r="F272" s="2"/>
      <c r="G272" s="2"/>
    </row>
    <row r="273" spans="1:7" x14ac:dyDescent="0.3">
      <c r="A273" s="8"/>
      <c r="B273" s="1"/>
      <c r="C273" s="1"/>
      <c r="D273" s="1"/>
      <c r="E273" s="2"/>
      <c r="F273" s="2"/>
      <c r="G273" s="2"/>
    </row>
    <row r="274" spans="1:7" x14ac:dyDescent="0.3">
      <c r="A274" s="8"/>
      <c r="B274" s="1"/>
      <c r="C274" s="1"/>
      <c r="D274" s="1"/>
      <c r="E274" s="2"/>
      <c r="F274" s="2"/>
      <c r="G274" s="2"/>
    </row>
    <row r="275" spans="1:7" x14ac:dyDescent="0.3">
      <c r="A275" s="8"/>
      <c r="B275" s="1"/>
      <c r="C275" s="1"/>
      <c r="D275" s="1"/>
      <c r="E275" s="2"/>
      <c r="F275" s="2"/>
      <c r="G275" s="2"/>
    </row>
    <row r="276" spans="1:7" x14ac:dyDescent="0.3">
      <c r="A276" s="8"/>
      <c r="B276" s="1"/>
      <c r="C276" s="1"/>
      <c r="D276" s="1"/>
      <c r="E276" s="2"/>
      <c r="F276" s="2"/>
      <c r="G276" s="2"/>
    </row>
    <row r="277" spans="1:7" x14ac:dyDescent="0.3">
      <c r="A277" s="8"/>
      <c r="B277" s="1"/>
      <c r="C277" s="1"/>
      <c r="D277" s="1"/>
      <c r="E277" s="2"/>
      <c r="F277" s="2"/>
      <c r="G277" s="2"/>
    </row>
    <row r="278" spans="1:7" x14ac:dyDescent="0.3">
      <c r="A278" s="8"/>
      <c r="B278" s="1"/>
      <c r="C278" s="1"/>
      <c r="D278" s="1"/>
      <c r="E278" s="2"/>
      <c r="F278" s="2"/>
      <c r="G278" s="2"/>
    </row>
    <row r="279" spans="1:7" x14ac:dyDescent="0.3">
      <c r="A279" s="8"/>
      <c r="B279" s="1"/>
      <c r="C279" s="1"/>
      <c r="D279" s="1"/>
      <c r="E279" s="2"/>
      <c r="F279" s="2"/>
      <c r="G279" s="2"/>
    </row>
    <row r="280" spans="1:7" x14ac:dyDescent="0.3">
      <c r="A280" s="8"/>
      <c r="B280" s="1"/>
      <c r="C280" s="1"/>
      <c r="D280" s="1"/>
      <c r="E280" s="2"/>
      <c r="F280" s="2"/>
      <c r="G280" s="2"/>
    </row>
    <row r="281" spans="1:7" x14ac:dyDescent="0.3">
      <c r="A281" s="8"/>
      <c r="B281" s="1"/>
      <c r="C281" s="1"/>
      <c r="D281" s="1"/>
      <c r="E281" s="2"/>
      <c r="F281" s="2"/>
      <c r="G281" s="2"/>
    </row>
    <row r="282" spans="1:7" x14ac:dyDescent="0.3">
      <c r="A282" s="8"/>
      <c r="B282" s="1"/>
      <c r="C282" s="1"/>
      <c r="D282" s="1"/>
      <c r="E282" s="2"/>
      <c r="F282" s="2"/>
      <c r="G282" s="2"/>
    </row>
    <row r="283" spans="1:7" x14ac:dyDescent="0.3">
      <c r="A283" s="8"/>
      <c r="B283" s="1"/>
      <c r="C283" s="1"/>
      <c r="D283" s="1"/>
      <c r="E283" s="2"/>
      <c r="F283" s="2"/>
      <c r="G283" s="2"/>
    </row>
    <row r="284" spans="1:7" x14ac:dyDescent="0.3">
      <c r="A284" s="8"/>
      <c r="B284" s="1"/>
      <c r="C284" s="1"/>
      <c r="D284" s="1"/>
      <c r="E284" s="2"/>
      <c r="F284" s="2"/>
      <c r="G284" s="2"/>
    </row>
    <row r="285" spans="1:7" x14ac:dyDescent="0.3">
      <c r="A285" s="8"/>
      <c r="B285" s="1"/>
      <c r="C285" s="1"/>
      <c r="D285" s="1"/>
      <c r="E285" s="2"/>
      <c r="F285" s="2"/>
      <c r="G285" s="2"/>
    </row>
    <row r="286" spans="1:7" x14ac:dyDescent="0.3">
      <c r="A286" s="8"/>
      <c r="B286" s="1"/>
      <c r="C286" s="1"/>
      <c r="D286" s="1"/>
      <c r="E286" s="2"/>
      <c r="F286" s="2"/>
      <c r="G286" s="2"/>
    </row>
    <row r="287" spans="1:7" x14ac:dyDescent="0.3">
      <c r="A287" s="8"/>
      <c r="B287" s="1"/>
      <c r="C287" s="1"/>
      <c r="D287" s="1"/>
      <c r="E287" s="2"/>
      <c r="F287" s="2"/>
      <c r="G287" s="2"/>
    </row>
    <row r="288" spans="1:7" x14ac:dyDescent="0.3">
      <c r="A288" s="8"/>
      <c r="B288" s="1"/>
      <c r="C288" s="1"/>
      <c r="D288" s="1"/>
      <c r="E288" s="2"/>
      <c r="F288" s="2"/>
      <c r="G288" s="2"/>
    </row>
    <row r="289" spans="1:7" x14ac:dyDescent="0.3">
      <c r="A289" s="8"/>
      <c r="B289" s="1"/>
      <c r="C289" s="1"/>
      <c r="D289" s="1"/>
      <c r="E289" s="2"/>
      <c r="F289" s="2"/>
      <c r="G289" s="2"/>
    </row>
    <row r="290" spans="1:7" x14ac:dyDescent="0.3">
      <c r="A290" s="8"/>
      <c r="B290" s="1"/>
      <c r="C290" s="1"/>
      <c r="D290" s="1"/>
      <c r="E290" s="2"/>
      <c r="F290" s="2"/>
      <c r="G290" s="2"/>
    </row>
    <row r="291" spans="1:7" x14ac:dyDescent="0.3">
      <c r="A291" s="8"/>
      <c r="B291" s="1"/>
      <c r="C291" s="1"/>
      <c r="D291" s="1"/>
      <c r="E291" s="2"/>
      <c r="F291" s="2"/>
      <c r="G291" s="2"/>
    </row>
    <row r="292" spans="1:7" x14ac:dyDescent="0.3">
      <c r="A292" s="8"/>
      <c r="B292" s="1"/>
      <c r="C292" s="1"/>
      <c r="D292" s="1"/>
      <c r="E292" s="2"/>
      <c r="F292" s="2"/>
      <c r="G292" s="2"/>
    </row>
    <row r="293" spans="1:7" x14ac:dyDescent="0.3">
      <c r="A293" s="8"/>
      <c r="B293" s="1"/>
      <c r="C293" s="1"/>
      <c r="D293" s="1"/>
      <c r="E293" s="2"/>
      <c r="F293" s="2"/>
      <c r="G293" s="2"/>
    </row>
    <row r="294" spans="1:7" x14ac:dyDescent="0.3">
      <c r="A294" s="8"/>
      <c r="B294" s="1"/>
      <c r="C294" s="1"/>
      <c r="D294" s="1"/>
      <c r="E294" s="2"/>
      <c r="F294" s="2"/>
      <c r="G294" s="2"/>
    </row>
    <row r="295" spans="1:7" x14ac:dyDescent="0.3">
      <c r="A295" s="8"/>
      <c r="B295" s="1"/>
      <c r="C295" s="1"/>
      <c r="D295" s="1"/>
      <c r="E295" s="2"/>
      <c r="F295" s="2"/>
      <c r="G295" s="2"/>
    </row>
    <row r="296" spans="1:7" x14ac:dyDescent="0.3">
      <c r="A296" s="8"/>
      <c r="B296" s="1"/>
      <c r="C296" s="1"/>
      <c r="D296" s="1"/>
      <c r="E296" s="2"/>
      <c r="F296" s="2"/>
      <c r="G296" s="2"/>
    </row>
    <row r="297" spans="1:7" x14ac:dyDescent="0.3">
      <c r="A297" s="8"/>
      <c r="B297" s="1"/>
      <c r="C297" s="1"/>
      <c r="D297" s="1"/>
      <c r="E297" s="2"/>
      <c r="F297" s="2"/>
      <c r="G297" s="2"/>
    </row>
    <row r="298" spans="1:7" x14ac:dyDescent="0.3">
      <c r="A298" s="8"/>
      <c r="B298" s="1"/>
      <c r="C298" s="1"/>
      <c r="D298" s="1"/>
      <c r="E298" s="2"/>
      <c r="F298" s="2"/>
      <c r="G298" s="2"/>
    </row>
    <row r="299" spans="1:7" x14ac:dyDescent="0.3">
      <c r="A299" s="8"/>
      <c r="B299" s="1"/>
      <c r="C299" s="1"/>
      <c r="D299" s="1"/>
      <c r="E299" s="2"/>
      <c r="F299" s="2"/>
      <c r="G299" s="2"/>
    </row>
    <row r="300" spans="1:7" x14ac:dyDescent="0.3">
      <c r="A300" s="8"/>
      <c r="B300" s="1"/>
      <c r="C300" s="1"/>
      <c r="D300" s="1"/>
      <c r="E300" s="2"/>
      <c r="F300" s="2"/>
      <c r="G300" s="2"/>
    </row>
    <row r="301" spans="1:7" x14ac:dyDescent="0.3">
      <c r="A301" s="8"/>
      <c r="B301" s="1"/>
      <c r="C301" s="1"/>
      <c r="D301" s="1"/>
      <c r="E301" s="2"/>
      <c r="F301" s="2"/>
      <c r="G301" s="2"/>
    </row>
    <row r="302" spans="1:7" x14ac:dyDescent="0.3">
      <c r="A302" s="8"/>
      <c r="B302" s="1"/>
      <c r="C302" s="1"/>
      <c r="D302" s="1"/>
      <c r="E302" s="2"/>
      <c r="F302" s="2"/>
      <c r="G302" s="2"/>
    </row>
    <row r="303" spans="1:7" x14ac:dyDescent="0.3">
      <c r="A303" s="8"/>
      <c r="B303" s="1"/>
      <c r="C303" s="1"/>
      <c r="D303" s="1"/>
      <c r="E303" s="2"/>
      <c r="F303" s="2"/>
      <c r="G303" s="2"/>
    </row>
    <row r="304" spans="1:7" x14ac:dyDescent="0.3">
      <c r="A304" s="8"/>
      <c r="B304" s="1"/>
      <c r="C304" s="1"/>
      <c r="D304" s="1"/>
      <c r="E304" s="2"/>
      <c r="F304" s="2"/>
      <c r="G304" s="2"/>
    </row>
    <row r="305" spans="1:7" x14ac:dyDescent="0.3">
      <c r="A305" s="8"/>
      <c r="B305" s="1"/>
      <c r="C305" s="1"/>
      <c r="D305" s="1"/>
      <c r="E305" s="2"/>
      <c r="F305" s="2"/>
      <c r="G305" s="2"/>
    </row>
    <row r="306" spans="1:7" x14ac:dyDescent="0.3">
      <c r="A306" s="8"/>
      <c r="B306" s="1"/>
      <c r="C306" s="1"/>
      <c r="D306" s="1"/>
      <c r="E306" s="2"/>
      <c r="F306" s="2"/>
      <c r="G306" s="2"/>
    </row>
    <row r="307" spans="1:7" x14ac:dyDescent="0.3">
      <c r="A307" s="8"/>
      <c r="B307" s="1"/>
      <c r="C307" s="1"/>
      <c r="D307" s="1"/>
      <c r="E307" s="2"/>
      <c r="F307" s="2"/>
      <c r="G307" s="2"/>
    </row>
    <row r="308" spans="1:7" x14ac:dyDescent="0.3">
      <c r="A308" s="8"/>
      <c r="B308" s="1"/>
      <c r="C308" s="1"/>
      <c r="D308" s="1"/>
      <c r="E308" s="2"/>
      <c r="F308" s="2"/>
      <c r="G308" s="2"/>
    </row>
    <row r="309" spans="1:7" x14ac:dyDescent="0.3">
      <c r="A309" s="8"/>
      <c r="B309" s="1"/>
      <c r="C309" s="1"/>
      <c r="D309" s="1"/>
      <c r="E309" s="2"/>
      <c r="F309" s="2"/>
      <c r="G309" s="2"/>
    </row>
    <row r="310" spans="1:7" x14ac:dyDescent="0.3">
      <c r="A310" s="8"/>
      <c r="B310" s="1"/>
      <c r="C310" s="1"/>
      <c r="D310" s="1"/>
      <c r="E310" s="2"/>
      <c r="F310" s="2"/>
      <c r="G310" s="2"/>
    </row>
    <row r="311" spans="1:7" x14ac:dyDescent="0.3">
      <c r="A311" s="8"/>
      <c r="B311" s="1"/>
      <c r="C311" s="1"/>
      <c r="D311" s="1"/>
      <c r="E311" s="2"/>
      <c r="F311" s="2"/>
      <c r="G311" s="2"/>
    </row>
    <row r="312" spans="1:7" x14ac:dyDescent="0.3">
      <c r="A312" s="8"/>
      <c r="B312" s="1"/>
      <c r="C312" s="1"/>
      <c r="D312" s="1"/>
      <c r="E312" s="2"/>
      <c r="F312" s="2"/>
      <c r="G312" s="2"/>
    </row>
    <row r="313" spans="1:7" x14ac:dyDescent="0.3">
      <c r="A313" s="8"/>
      <c r="B313" s="1"/>
      <c r="C313" s="1"/>
      <c r="D313" s="1"/>
      <c r="E313" s="2"/>
      <c r="F313" s="2"/>
      <c r="G313" s="2"/>
    </row>
    <row r="314" spans="1:7" x14ac:dyDescent="0.3">
      <c r="A314" s="8"/>
      <c r="B314" s="1"/>
      <c r="C314" s="1"/>
      <c r="D314" s="1"/>
      <c r="E314" s="2"/>
      <c r="F314" s="2"/>
      <c r="G314" s="2"/>
    </row>
    <row r="315" spans="1:7" x14ac:dyDescent="0.3">
      <c r="A315" s="8"/>
      <c r="B315" s="1"/>
      <c r="C315" s="1"/>
      <c r="D315" s="1"/>
      <c r="E315" s="2"/>
      <c r="F315" s="2"/>
      <c r="G315" s="2"/>
    </row>
    <row r="316" spans="1:7" x14ac:dyDescent="0.3">
      <c r="A316" s="8"/>
      <c r="B316" s="1"/>
      <c r="C316" s="1"/>
      <c r="D316" s="1"/>
      <c r="E316" s="2"/>
      <c r="F316" s="2"/>
      <c r="G316" s="2"/>
    </row>
    <row r="317" spans="1:7" x14ac:dyDescent="0.3">
      <c r="A317" s="8"/>
      <c r="B317" s="1"/>
      <c r="C317" s="1"/>
      <c r="D317" s="1"/>
      <c r="E317" s="2"/>
      <c r="F317" s="2"/>
      <c r="G317" s="2"/>
    </row>
    <row r="318" spans="1:7" x14ac:dyDescent="0.3">
      <c r="A318" s="8"/>
      <c r="B318" s="1"/>
      <c r="C318" s="1"/>
      <c r="D318" s="1"/>
      <c r="E318" s="2"/>
      <c r="F318" s="2"/>
      <c r="G318" s="2"/>
    </row>
    <row r="319" spans="1:7" x14ac:dyDescent="0.3">
      <c r="A319" s="8"/>
      <c r="B319" s="1"/>
      <c r="C319" s="1"/>
      <c r="D319" s="1"/>
      <c r="E319" s="2"/>
      <c r="F319" s="2"/>
      <c r="G319" s="2"/>
    </row>
    <row r="320" spans="1:7" x14ac:dyDescent="0.3">
      <c r="A320" s="8"/>
      <c r="B320" s="1"/>
      <c r="C320" s="1"/>
      <c r="D320" s="1"/>
      <c r="E320" s="2"/>
      <c r="F320" s="2"/>
      <c r="G320" s="2"/>
    </row>
    <row r="321" spans="1:7" x14ac:dyDescent="0.3">
      <c r="A321" s="8"/>
      <c r="B321" s="1"/>
      <c r="C321" s="1"/>
      <c r="D321" s="1"/>
      <c r="E321" s="2"/>
      <c r="F321" s="2"/>
      <c r="G321" s="2"/>
    </row>
    <row r="322" spans="1:7" x14ac:dyDescent="0.3">
      <c r="A322" s="8"/>
      <c r="B322" s="1"/>
      <c r="C322" s="1"/>
      <c r="D322" s="1"/>
      <c r="E322" s="2"/>
      <c r="F322" s="2"/>
      <c r="G322" s="2"/>
    </row>
    <row r="323" spans="1:7" x14ac:dyDescent="0.3">
      <c r="A323" s="8"/>
      <c r="B323" s="1"/>
      <c r="C323" s="1"/>
      <c r="D323" s="1"/>
      <c r="E323" s="2"/>
      <c r="F323" s="2"/>
      <c r="G323" s="2"/>
    </row>
    <row r="324" spans="1:7" x14ac:dyDescent="0.3">
      <c r="A324" s="8"/>
      <c r="B324" s="1"/>
      <c r="C324" s="1"/>
      <c r="D324" s="1"/>
      <c r="E324" s="2"/>
      <c r="F324" s="2"/>
      <c r="G324" s="2"/>
    </row>
    <row r="325" spans="1:7" x14ac:dyDescent="0.3">
      <c r="A325" s="8"/>
      <c r="B325" s="1"/>
      <c r="C325" s="1"/>
      <c r="D325" s="1"/>
      <c r="E325" s="2"/>
      <c r="F325" s="2"/>
      <c r="G325" s="2"/>
    </row>
    <row r="326" spans="1:7" x14ac:dyDescent="0.3">
      <c r="A326" s="8"/>
      <c r="B326" s="1"/>
      <c r="C326" s="1"/>
      <c r="D326" s="1"/>
      <c r="E326" s="2"/>
      <c r="F326" s="2"/>
      <c r="G326" s="2"/>
    </row>
    <row r="327" spans="1:7" x14ac:dyDescent="0.3">
      <c r="A327" s="8"/>
      <c r="B327" s="1"/>
      <c r="C327" s="1"/>
      <c r="D327" s="1"/>
      <c r="E327" s="2"/>
      <c r="F327" s="2"/>
      <c r="G327" s="2"/>
    </row>
    <row r="328" spans="1:7" x14ac:dyDescent="0.3">
      <c r="A328" s="8"/>
      <c r="B328" s="1"/>
      <c r="C328" s="1"/>
      <c r="D328" s="1"/>
      <c r="E328" s="2"/>
      <c r="F328" s="2"/>
      <c r="G328" s="2"/>
    </row>
    <row r="329" spans="1:7" x14ac:dyDescent="0.3">
      <c r="A329" s="8"/>
      <c r="B329" s="1"/>
      <c r="C329" s="1"/>
      <c r="D329" s="1"/>
      <c r="E329" s="2"/>
      <c r="F329" s="2"/>
      <c r="G329" s="2"/>
    </row>
    <row r="330" spans="1:7" x14ac:dyDescent="0.3">
      <c r="A330" s="8"/>
      <c r="B330" s="1"/>
      <c r="C330" s="1"/>
      <c r="D330" s="1"/>
      <c r="E330" s="2"/>
      <c r="F330" s="2"/>
      <c r="G330" s="2"/>
    </row>
    <row r="331" spans="1:7" x14ac:dyDescent="0.3">
      <c r="A331" s="8"/>
      <c r="B331" s="1"/>
      <c r="C331" s="1"/>
      <c r="D331" s="1"/>
      <c r="E331" s="2"/>
      <c r="F331" s="2"/>
      <c r="G331" s="2"/>
    </row>
    <row r="332" spans="1:7" x14ac:dyDescent="0.3">
      <c r="A332" s="8"/>
      <c r="B332" s="1"/>
      <c r="C332" s="1"/>
      <c r="D332" s="1"/>
      <c r="E332" s="2"/>
      <c r="F332" s="2"/>
      <c r="G332" s="2"/>
    </row>
    <row r="333" spans="1:7" x14ac:dyDescent="0.3">
      <c r="A333" s="8"/>
      <c r="B333" s="1"/>
      <c r="C333" s="1"/>
      <c r="D333" s="1"/>
      <c r="E333" s="2"/>
      <c r="F333" s="2"/>
      <c r="G333" s="2"/>
    </row>
    <row r="334" spans="1:7" x14ac:dyDescent="0.3">
      <c r="A334" s="8"/>
      <c r="B334" s="1"/>
      <c r="C334" s="1"/>
      <c r="D334" s="1"/>
      <c r="E334" s="2"/>
      <c r="F334" s="2"/>
      <c r="G334" s="2"/>
    </row>
    <row r="335" spans="1:7" x14ac:dyDescent="0.3">
      <c r="A335" s="8"/>
      <c r="B335" s="1"/>
      <c r="C335" s="1"/>
      <c r="D335" s="1"/>
      <c r="E335" s="2"/>
      <c r="F335" s="2"/>
      <c r="G335" s="2"/>
    </row>
    <row r="336" spans="1:7" x14ac:dyDescent="0.3">
      <c r="A336" s="8"/>
      <c r="B336" s="1"/>
      <c r="C336" s="1"/>
      <c r="D336" s="1"/>
      <c r="E336" s="2"/>
      <c r="F336" s="2"/>
      <c r="G336" s="2"/>
    </row>
    <row r="337" spans="1:7" x14ac:dyDescent="0.3">
      <c r="A337" s="8"/>
      <c r="B337" s="1"/>
      <c r="C337" s="1"/>
      <c r="D337" s="1"/>
      <c r="E337" s="2"/>
      <c r="F337" s="2"/>
      <c r="G337" s="2"/>
    </row>
    <row r="338" spans="1:7" x14ac:dyDescent="0.3">
      <c r="A338" s="8"/>
      <c r="B338" s="1"/>
      <c r="C338" s="1"/>
      <c r="D338" s="1"/>
      <c r="E338" s="2"/>
      <c r="F338" s="2"/>
      <c r="G338" s="2"/>
    </row>
    <row r="339" spans="1:7" x14ac:dyDescent="0.3">
      <c r="A339" s="8"/>
      <c r="B339" s="1"/>
      <c r="C339" s="1"/>
      <c r="D339" s="1"/>
      <c r="E339" s="2"/>
      <c r="F339" s="2"/>
      <c r="G339" s="2"/>
    </row>
    <row r="340" spans="1:7" x14ac:dyDescent="0.3">
      <c r="A340" s="8"/>
      <c r="B340" s="1"/>
      <c r="C340" s="1"/>
      <c r="D340" s="1"/>
      <c r="E340" s="2"/>
      <c r="F340" s="2"/>
      <c r="G340" s="2"/>
    </row>
    <row r="341" spans="1:7" x14ac:dyDescent="0.3">
      <c r="A341" s="8"/>
      <c r="B341" s="1"/>
      <c r="C341" s="1"/>
      <c r="D341" s="1"/>
      <c r="E341" s="2"/>
      <c r="F341" s="2"/>
      <c r="G341" s="2"/>
    </row>
    <row r="342" spans="1:7" x14ac:dyDescent="0.3">
      <c r="A342" s="8"/>
      <c r="B342" s="1"/>
      <c r="C342" s="1"/>
      <c r="D342" s="1"/>
      <c r="E342" s="2"/>
      <c r="F342" s="2"/>
      <c r="G342" s="2"/>
    </row>
    <row r="343" spans="1:7" x14ac:dyDescent="0.3">
      <c r="A343" s="8"/>
      <c r="B343" s="1"/>
      <c r="C343" s="1"/>
      <c r="D343" s="1"/>
      <c r="E343" s="2"/>
      <c r="F343" s="2"/>
      <c r="G343" s="2"/>
    </row>
    <row r="344" spans="1:7" x14ac:dyDescent="0.3">
      <c r="A344" s="8"/>
      <c r="B344" s="1"/>
      <c r="C344" s="1"/>
      <c r="D344" s="1"/>
      <c r="E344" s="2"/>
      <c r="F344" s="2"/>
      <c r="G344" s="2"/>
    </row>
    <row r="345" spans="1:7" x14ac:dyDescent="0.3">
      <c r="A345" s="8"/>
      <c r="B345" s="1"/>
      <c r="C345" s="1"/>
      <c r="D345" s="1"/>
      <c r="E345" s="2"/>
      <c r="F345" s="2"/>
      <c r="G345" s="2"/>
    </row>
    <row r="346" spans="1:7" x14ac:dyDescent="0.3">
      <c r="A346" s="8"/>
      <c r="B346" s="1"/>
      <c r="C346" s="1"/>
      <c r="D346" s="1"/>
      <c r="E346" s="2"/>
      <c r="F346" s="2"/>
      <c r="G346" s="2"/>
    </row>
    <row r="347" spans="1:7" x14ac:dyDescent="0.3">
      <c r="A347" s="8"/>
      <c r="B347" s="1"/>
      <c r="C347" s="1"/>
      <c r="D347" s="1"/>
      <c r="E347" s="2"/>
      <c r="F347" s="2"/>
      <c r="G347" s="2"/>
    </row>
    <row r="348" spans="1:7" x14ac:dyDescent="0.3">
      <c r="A348" s="8"/>
      <c r="B348" s="1"/>
      <c r="C348" s="1"/>
      <c r="D348" s="1"/>
      <c r="E348" s="2"/>
      <c r="F348" s="2"/>
      <c r="G348" s="2"/>
    </row>
    <row r="349" spans="1:7" x14ac:dyDescent="0.3">
      <c r="A349" s="8"/>
      <c r="B349" s="1"/>
      <c r="C349" s="1"/>
      <c r="D349" s="1"/>
      <c r="E349" s="2"/>
      <c r="F349" s="2"/>
      <c r="G349" s="2"/>
    </row>
    <row r="350" spans="1:7" x14ac:dyDescent="0.3">
      <c r="A350" s="8"/>
      <c r="B350" s="1"/>
      <c r="C350" s="1"/>
      <c r="D350" s="1"/>
      <c r="E350" s="2"/>
      <c r="F350" s="2"/>
      <c r="G350" s="2"/>
    </row>
    <row r="351" spans="1:7" x14ac:dyDescent="0.3">
      <c r="A351" s="8"/>
      <c r="B351" s="1"/>
      <c r="C351" s="1"/>
      <c r="D351" s="1"/>
      <c r="E351" s="2"/>
      <c r="F351" s="2"/>
      <c r="G351" s="2"/>
    </row>
    <row r="352" spans="1:7" x14ac:dyDescent="0.3">
      <c r="A352" s="8"/>
      <c r="B352" s="1"/>
      <c r="C352" s="1"/>
      <c r="D352" s="1"/>
      <c r="E352" s="2"/>
      <c r="F352" s="2"/>
      <c r="G352" s="2"/>
    </row>
    <row r="353" spans="1:7" x14ac:dyDescent="0.3">
      <c r="A353" s="8"/>
      <c r="B353" s="1"/>
      <c r="C353" s="1"/>
      <c r="D353" s="1"/>
      <c r="E353" s="2"/>
      <c r="F353" s="2"/>
      <c r="G353" s="2"/>
    </row>
    <row r="354" spans="1:7" x14ac:dyDescent="0.3">
      <c r="A354" s="8"/>
      <c r="B354" s="1"/>
      <c r="C354" s="1"/>
      <c r="D354" s="1"/>
      <c r="E354" s="2"/>
      <c r="F354" s="2"/>
      <c r="G354" s="2"/>
    </row>
    <row r="355" spans="1:7" x14ac:dyDescent="0.3">
      <c r="A355" s="8"/>
      <c r="B355" s="1"/>
      <c r="C355" s="1"/>
      <c r="D355" s="1"/>
      <c r="E355" s="2"/>
      <c r="F355" s="2"/>
      <c r="G355" s="2"/>
    </row>
    <row r="356" spans="1:7" x14ac:dyDescent="0.3">
      <c r="A356" s="8"/>
      <c r="B356" s="1"/>
      <c r="C356" s="1"/>
      <c r="D356" s="1"/>
      <c r="E356" s="2"/>
      <c r="F356" s="2"/>
      <c r="G356" s="2"/>
    </row>
    <row r="357" spans="1:7" x14ac:dyDescent="0.3">
      <c r="A357" s="8"/>
      <c r="B357" s="1"/>
      <c r="C357" s="1"/>
      <c r="D357" s="1"/>
      <c r="E357" s="2"/>
      <c r="F357" s="2"/>
      <c r="G357" s="2"/>
    </row>
    <row r="358" spans="1:7" x14ac:dyDescent="0.3">
      <c r="A358" s="8"/>
      <c r="B358" s="1"/>
      <c r="C358" s="1"/>
      <c r="D358" s="1"/>
      <c r="E358" s="2"/>
      <c r="F358" s="2"/>
      <c r="G358" s="2"/>
    </row>
    <row r="359" spans="1:7" x14ac:dyDescent="0.3">
      <c r="A359" s="8"/>
      <c r="B359" s="1"/>
      <c r="C359" s="1"/>
      <c r="D359" s="1"/>
      <c r="E359" s="2"/>
      <c r="F359" s="2"/>
      <c r="G359" s="2"/>
    </row>
    <row r="360" spans="1:7" x14ac:dyDescent="0.3">
      <c r="A360" s="8"/>
      <c r="B360" s="1"/>
      <c r="C360" s="1"/>
      <c r="D360" s="1"/>
      <c r="E360" s="2"/>
      <c r="F360" s="2"/>
      <c r="G360" s="2"/>
    </row>
    <row r="361" spans="1:7" x14ac:dyDescent="0.3">
      <c r="A361" s="8"/>
      <c r="B361" s="1"/>
      <c r="C361" s="1"/>
      <c r="D361" s="1"/>
      <c r="E361" s="2"/>
      <c r="F361" s="2"/>
      <c r="G361" s="2"/>
    </row>
    <row r="362" spans="1:7" x14ac:dyDescent="0.3">
      <c r="A362" s="8"/>
      <c r="B362" s="1"/>
      <c r="C362" s="1"/>
      <c r="D362" s="1"/>
      <c r="E362" s="2"/>
      <c r="F362" s="2"/>
      <c r="G362" s="2"/>
    </row>
    <row r="363" spans="1:7" x14ac:dyDescent="0.3">
      <c r="A363" s="8"/>
      <c r="B363" s="1"/>
      <c r="C363" s="1"/>
      <c r="D363" s="1"/>
      <c r="E363" s="2"/>
      <c r="F363" s="2"/>
      <c r="G363" s="2"/>
    </row>
    <row r="364" spans="1:7" x14ac:dyDescent="0.3">
      <c r="A364" s="8"/>
      <c r="B364" s="1"/>
      <c r="C364" s="1"/>
      <c r="D364" s="1"/>
      <c r="E364" s="2"/>
      <c r="F364" s="2"/>
      <c r="G364" s="2"/>
    </row>
    <row r="365" spans="1:7" x14ac:dyDescent="0.3">
      <c r="A365" s="8"/>
      <c r="B365" s="1"/>
      <c r="C365" s="1"/>
      <c r="D365" s="1"/>
      <c r="E365" s="2"/>
      <c r="F365" s="2"/>
      <c r="G365" s="2"/>
    </row>
    <row r="366" spans="1:7" x14ac:dyDescent="0.3">
      <c r="A366" s="8"/>
      <c r="B366" s="1"/>
      <c r="C366" s="1"/>
      <c r="D366" s="1"/>
      <c r="E366" s="2"/>
      <c r="F366" s="2"/>
      <c r="G366" s="2"/>
    </row>
    <row r="367" spans="1:7" x14ac:dyDescent="0.3">
      <c r="A367" s="8"/>
      <c r="B367" s="1"/>
      <c r="C367" s="1"/>
      <c r="D367" s="1"/>
      <c r="E367" s="2"/>
      <c r="F367" s="2"/>
      <c r="G367" s="2"/>
    </row>
    <row r="368" spans="1:7" x14ac:dyDescent="0.3">
      <c r="A368" s="8"/>
      <c r="B368" s="1"/>
      <c r="C368" s="1"/>
      <c r="D368" s="1"/>
      <c r="E368" s="2"/>
      <c r="F368" s="2"/>
      <c r="G368" s="2"/>
    </row>
    <row r="369" spans="1:7" x14ac:dyDescent="0.3">
      <c r="A369" s="8"/>
      <c r="B369" s="1"/>
      <c r="C369" s="1"/>
      <c r="D369" s="1"/>
      <c r="E369" s="2"/>
      <c r="F369" s="2"/>
      <c r="G369" s="2"/>
    </row>
    <row r="370" spans="1:7" x14ac:dyDescent="0.3">
      <c r="A370" s="8"/>
      <c r="B370" s="1"/>
      <c r="C370" s="1"/>
      <c r="D370" s="1"/>
      <c r="E370" s="2"/>
      <c r="F370" s="2"/>
      <c r="G370" s="2"/>
    </row>
    <row r="371" spans="1:7" x14ac:dyDescent="0.3">
      <c r="A371" s="8"/>
      <c r="B371" s="1"/>
      <c r="C371" s="1"/>
      <c r="D371" s="1"/>
      <c r="E371" s="2"/>
      <c r="F371" s="2"/>
      <c r="G371" s="2"/>
    </row>
    <row r="372" spans="1:7" x14ac:dyDescent="0.3">
      <c r="A372" s="8"/>
      <c r="B372" s="1"/>
      <c r="C372" s="1"/>
      <c r="D372" s="1"/>
      <c r="E372" s="2"/>
      <c r="F372" s="2"/>
      <c r="G372" s="2"/>
    </row>
    <row r="373" spans="1:7" x14ac:dyDescent="0.3">
      <c r="A373" s="8"/>
      <c r="B373" s="1"/>
      <c r="C373" s="1"/>
      <c r="D373" s="1"/>
      <c r="E373" s="2"/>
      <c r="F373" s="2"/>
      <c r="G373" s="2"/>
    </row>
    <row r="374" spans="1:7" x14ac:dyDescent="0.3">
      <c r="A374" s="8"/>
      <c r="B374" s="1"/>
      <c r="C374" s="1"/>
      <c r="D374" s="1"/>
      <c r="E374" s="2"/>
      <c r="F374" s="2"/>
      <c r="G374" s="2"/>
    </row>
    <row r="375" spans="1:7" x14ac:dyDescent="0.3">
      <c r="A375" s="8"/>
      <c r="B375" s="1"/>
      <c r="C375" s="1"/>
      <c r="D375" s="1"/>
      <c r="E375" s="2"/>
      <c r="F375" s="2"/>
      <c r="G375" s="2"/>
    </row>
    <row r="376" spans="1:7" x14ac:dyDescent="0.3">
      <c r="A376" s="8"/>
      <c r="B376" s="1"/>
      <c r="C376" s="1"/>
      <c r="D376" s="1"/>
      <c r="E376" s="2"/>
      <c r="F376" s="2"/>
      <c r="G376" s="2"/>
    </row>
    <row r="377" spans="1:7" x14ac:dyDescent="0.3">
      <c r="A377" s="8"/>
      <c r="B377" s="1"/>
      <c r="C377" s="1"/>
      <c r="D377" s="1"/>
      <c r="E377" s="2"/>
      <c r="F377" s="2"/>
      <c r="G377" s="2"/>
    </row>
    <row r="378" spans="1:7" x14ac:dyDescent="0.3">
      <c r="A378" s="8"/>
      <c r="B378" s="1"/>
      <c r="C378" s="1"/>
      <c r="D378" s="1"/>
      <c r="E378" s="2"/>
      <c r="F378" s="2"/>
      <c r="G378" s="2"/>
    </row>
    <row r="379" spans="1:7" x14ac:dyDescent="0.3">
      <c r="A379" s="8"/>
      <c r="B379" s="1"/>
      <c r="C379" s="1"/>
      <c r="D379" s="1"/>
      <c r="E379" s="2"/>
      <c r="F379" s="2"/>
      <c r="G379" s="2"/>
    </row>
    <row r="380" spans="1:7" x14ac:dyDescent="0.3">
      <c r="A380" s="8"/>
      <c r="B380" s="1"/>
      <c r="C380" s="1"/>
      <c r="D380" s="1"/>
      <c r="E380" s="2"/>
      <c r="F380" s="2"/>
      <c r="G380" s="2"/>
    </row>
    <row r="381" spans="1:7" x14ac:dyDescent="0.3">
      <c r="A381" s="8"/>
      <c r="B381" s="1"/>
      <c r="C381" s="1"/>
      <c r="D381" s="1"/>
      <c r="E381" s="2"/>
      <c r="F381" s="2"/>
      <c r="G381" s="2"/>
    </row>
    <row r="382" spans="1:7" x14ac:dyDescent="0.3">
      <c r="A382" s="8"/>
      <c r="B382" s="1"/>
      <c r="C382" s="1"/>
      <c r="D382" s="1"/>
      <c r="E382" s="2"/>
      <c r="F382" s="2"/>
      <c r="G382" s="2"/>
    </row>
    <row r="383" spans="1:7" x14ac:dyDescent="0.3">
      <c r="A383" s="8"/>
      <c r="B383" s="1"/>
      <c r="C383" s="1"/>
      <c r="D383" s="1"/>
      <c r="E383" s="2"/>
      <c r="F383" s="2"/>
      <c r="G383" s="2"/>
    </row>
    <row r="384" spans="1:7" x14ac:dyDescent="0.3">
      <c r="A384" s="8"/>
      <c r="B384" s="1"/>
      <c r="C384" s="1"/>
      <c r="D384" s="1"/>
      <c r="E384" s="2"/>
      <c r="F384" s="2"/>
      <c r="G384" s="2"/>
    </row>
    <row r="385" spans="1:7" x14ac:dyDescent="0.3">
      <c r="A385" s="8"/>
      <c r="B385" s="1"/>
      <c r="C385" s="1"/>
      <c r="D385" s="1"/>
      <c r="E385" s="2"/>
      <c r="F385" s="2"/>
      <c r="G385" s="2"/>
    </row>
    <row r="386" spans="1:7" x14ac:dyDescent="0.3">
      <c r="A386" s="8"/>
      <c r="B386" s="1"/>
      <c r="C386" s="1"/>
      <c r="D386" s="1"/>
      <c r="E386" s="2"/>
      <c r="F386" s="2"/>
      <c r="G386" s="2"/>
    </row>
    <row r="387" spans="1:7" x14ac:dyDescent="0.3">
      <c r="A387" s="8"/>
      <c r="B387" s="1"/>
      <c r="C387" s="1"/>
      <c r="D387" s="1"/>
      <c r="E387" s="2"/>
      <c r="F387" s="2"/>
      <c r="G387" s="2"/>
    </row>
    <row r="388" spans="1:7" x14ac:dyDescent="0.3">
      <c r="A388" s="8"/>
      <c r="B388" s="1"/>
      <c r="C388" s="1"/>
      <c r="D388" s="1"/>
      <c r="E388" s="2"/>
      <c r="F388" s="2"/>
      <c r="G388" s="2"/>
    </row>
    <row r="389" spans="1:7" x14ac:dyDescent="0.3">
      <c r="A389" s="8"/>
      <c r="B389" s="1"/>
      <c r="C389" s="1"/>
      <c r="D389" s="1"/>
      <c r="E389" s="2"/>
      <c r="F389" s="2"/>
      <c r="G389" s="2"/>
    </row>
    <row r="390" spans="1:7" x14ac:dyDescent="0.3">
      <c r="A390" s="8"/>
      <c r="B390" s="1"/>
      <c r="C390" s="1"/>
      <c r="D390" s="1"/>
      <c r="E390" s="2"/>
      <c r="F390" s="2"/>
      <c r="G390" s="2"/>
    </row>
    <row r="391" spans="1:7" x14ac:dyDescent="0.3">
      <c r="A391" s="8"/>
      <c r="B391" s="1"/>
      <c r="C391" s="1"/>
      <c r="D391" s="1"/>
      <c r="E391" s="2"/>
      <c r="F391" s="2"/>
      <c r="G391" s="2"/>
    </row>
    <row r="392" spans="1:7" x14ac:dyDescent="0.3">
      <c r="A392" s="8"/>
      <c r="B392" s="1"/>
      <c r="C392" s="1"/>
      <c r="D392" s="1"/>
      <c r="E392" s="2"/>
      <c r="F392" s="2"/>
      <c r="G392" s="2"/>
    </row>
    <row r="393" spans="1:7" x14ac:dyDescent="0.3">
      <c r="A393" s="8"/>
      <c r="B393" s="1"/>
      <c r="C393" s="1"/>
      <c r="D393" s="1"/>
      <c r="E393" s="2"/>
      <c r="F393" s="2"/>
      <c r="G393" s="2"/>
    </row>
    <row r="394" spans="1:7" x14ac:dyDescent="0.3">
      <c r="A394" s="8"/>
      <c r="B394" s="1"/>
      <c r="C394" s="1"/>
      <c r="D394" s="1"/>
      <c r="E394" s="2"/>
      <c r="F394" s="2"/>
      <c r="G394" s="2"/>
    </row>
    <row r="395" spans="1:7" x14ac:dyDescent="0.3">
      <c r="A395" s="8"/>
      <c r="B395" s="1"/>
      <c r="C395" s="1"/>
      <c r="D395" s="1"/>
      <c r="E395" s="2"/>
      <c r="F395" s="2"/>
      <c r="G395" s="2"/>
    </row>
    <row r="396" spans="1:7" x14ac:dyDescent="0.3">
      <c r="A396" s="8"/>
      <c r="B396" s="1"/>
      <c r="C396" s="1"/>
      <c r="D396" s="1"/>
      <c r="E396" s="2"/>
      <c r="F396" s="2"/>
      <c r="G396" s="2"/>
    </row>
    <row r="397" spans="1:7" x14ac:dyDescent="0.3">
      <c r="A397" s="8"/>
      <c r="B397" s="1"/>
      <c r="C397" s="1"/>
      <c r="D397" s="1"/>
      <c r="E397" s="2"/>
      <c r="F397" s="2"/>
      <c r="G397" s="2"/>
    </row>
    <row r="398" spans="1:7" x14ac:dyDescent="0.3">
      <c r="A398" s="8"/>
      <c r="B398" s="1"/>
      <c r="C398" s="1"/>
      <c r="D398" s="1"/>
      <c r="E398" s="2"/>
      <c r="F398" s="2"/>
      <c r="G398" s="2"/>
    </row>
    <row r="399" spans="1:7" x14ac:dyDescent="0.3">
      <c r="A399" s="8"/>
      <c r="B399" s="1"/>
      <c r="C399" s="1"/>
      <c r="D399" s="1"/>
      <c r="E399" s="2"/>
      <c r="F399" s="2"/>
      <c r="G399" s="2"/>
    </row>
    <row r="400" spans="1:7" x14ac:dyDescent="0.3">
      <c r="A400" s="8"/>
      <c r="B400" s="1"/>
      <c r="C400" s="1"/>
      <c r="D400" s="1"/>
      <c r="E400" s="2"/>
      <c r="F400" s="2"/>
      <c r="G400" s="2"/>
    </row>
    <row r="401" spans="1:7" x14ac:dyDescent="0.3">
      <c r="A401" s="8"/>
      <c r="B401" s="1"/>
      <c r="C401" s="1"/>
      <c r="D401" s="1"/>
      <c r="E401" s="2"/>
      <c r="F401" s="2"/>
      <c r="G401" s="2"/>
    </row>
    <row r="402" spans="1:7" x14ac:dyDescent="0.3">
      <c r="A402" s="8"/>
      <c r="B402" s="1"/>
      <c r="C402" s="1"/>
      <c r="D402" s="1"/>
      <c r="E402" s="2"/>
      <c r="F402" s="2"/>
      <c r="G402" s="2"/>
    </row>
    <row r="403" spans="1:7" x14ac:dyDescent="0.3">
      <c r="A403" s="8"/>
      <c r="B403" s="1"/>
      <c r="C403" s="1"/>
      <c r="D403" s="1"/>
      <c r="E403" s="2"/>
      <c r="F403" s="2"/>
      <c r="G403" s="2"/>
    </row>
    <row r="404" spans="1:7" x14ac:dyDescent="0.3">
      <c r="A404" s="8"/>
      <c r="B404" s="1"/>
      <c r="C404" s="1"/>
      <c r="D404" s="1"/>
      <c r="E404" s="2"/>
      <c r="F404" s="2"/>
      <c r="G404" s="2"/>
    </row>
    <row r="405" spans="1:7" x14ac:dyDescent="0.3">
      <c r="A405" s="8"/>
      <c r="B405" s="1"/>
      <c r="C405" s="1"/>
      <c r="D405" s="1"/>
      <c r="E405" s="2"/>
      <c r="F405" s="2"/>
      <c r="G405" s="2"/>
    </row>
    <row r="406" spans="1:7" x14ac:dyDescent="0.3">
      <c r="A406" s="8"/>
      <c r="B406" s="1"/>
      <c r="C406" s="1"/>
      <c r="D406" s="1"/>
      <c r="E406" s="2"/>
      <c r="F406" s="2"/>
      <c r="G406" s="2"/>
    </row>
    <row r="407" spans="1:7" x14ac:dyDescent="0.3">
      <c r="A407" s="8"/>
      <c r="B407" s="1"/>
      <c r="C407" s="1"/>
      <c r="D407" s="1"/>
      <c r="E407" s="2"/>
      <c r="F407" s="2"/>
      <c r="G407" s="2"/>
    </row>
    <row r="408" spans="1:7" x14ac:dyDescent="0.3">
      <c r="A408" s="8"/>
      <c r="B408" s="1"/>
      <c r="C408" s="1"/>
      <c r="D408" s="1"/>
      <c r="E408" s="2"/>
      <c r="F408" s="2"/>
      <c r="G408" s="2"/>
    </row>
    <row r="409" spans="1:7" x14ac:dyDescent="0.3">
      <c r="A409" s="8"/>
      <c r="B409" s="1"/>
      <c r="C409" s="1"/>
      <c r="D409" s="1"/>
      <c r="E409" s="2"/>
      <c r="F409" s="2"/>
      <c r="G409" s="2"/>
    </row>
    <row r="410" spans="1:7" x14ac:dyDescent="0.3">
      <c r="A410" s="8"/>
      <c r="B410" s="1"/>
      <c r="C410" s="1"/>
      <c r="D410" s="1"/>
      <c r="E410" s="2"/>
      <c r="F410" s="2"/>
      <c r="G410" s="2"/>
    </row>
    <row r="411" spans="1:7" x14ac:dyDescent="0.3">
      <c r="A411" s="8"/>
      <c r="B411" s="1"/>
      <c r="C411" s="1"/>
      <c r="D411" s="1"/>
      <c r="E411" s="2"/>
      <c r="F411" s="2"/>
      <c r="G411" s="2"/>
    </row>
    <row r="412" spans="1:7" x14ac:dyDescent="0.3">
      <c r="A412" s="8"/>
      <c r="B412" s="1"/>
      <c r="C412" s="1"/>
      <c r="D412" s="1"/>
      <c r="E412" s="2"/>
      <c r="F412" s="2"/>
      <c r="G412" s="2"/>
    </row>
    <row r="413" spans="1:7" x14ac:dyDescent="0.3">
      <c r="A413" s="8"/>
      <c r="B413" s="1"/>
      <c r="C413" s="1"/>
      <c r="D413" s="1"/>
      <c r="E413" s="2"/>
      <c r="F413" s="2"/>
      <c r="G413" s="2"/>
    </row>
    <row r="414" spans="1:7" x14ac:dyDescent="0.3">
      <c r="A414" s="8"/>
      <c r="B414" s="1"/>
      <c r="C414" s="1"/>
      <c r="D414" s="1"/>
      <c r="E414" s="2"/>
      <c r="F414" s="2"/>
      <c r="G414" s="2"/>
    </row>
    <row r="415" spans="1:7" x14ac:dyDescent="0.3">
      <c r="A415" s="8"/>
      <c r="B415" s="1"/>
      <c r="C415" s="1"/>
      <c r="D415" s="1"/>
      <c r="E415" s="2"/>
      <c r="F415" s="2"/>
      <c r="G415" s="2"/>
    </row>
    <row r="416" spans="1:7" x14ac:dyDescent="0.3">
      <c r="A416" s="8"/>
      <c r="B416" s="1"/>
      <c r="C416" s="1"/>
      <c r="D416" s="1"/>
      <c r="E416" s="2"/>
      <c r="F416" s="2"/>
      <c r="G416" s="2"/>
    </row>
    <row r="417" spans="1:7" x14ac:dyDescent="0.3">
      <c r="A417" s="8"/>
      <c r="B417" s="1"/>
      <c r="C417" s="1"/>
      <c r="D417" s="1"/>
      <c r="E417" s="2"/>
      <c r="F417" s="2"/>
      <c r="G417" s="2"/>
    </row>
    <row r="418" spans="1:7" x14ac:dyDescent="0.3">
      <c r="A418" s="8"/>
      <c r="B418" s="1"/>
      <c r="C418" s="1"/>
      <c r="D418" s="1"/>
      <c r="E418" s="2"/>
      <c r="F418" s="2"/>
      <c r="G418" s="2"/>
    </row>
    <row r="419" spans="1:7" x14ac:dyDescent="0.3">
      <c r="A419" s="8"/>
      <c r="B419" s="1"/>
      <c r="C419" s="1"/>
      <c r="D419" s="1"/>
      <c r="E419" s="2"/>
      <c r="F419" s="2"/>
      <c r="G419" s="2"/>
    </row>
    <row r="420" spans="1:7" x14ac:dyDescent="0.3">
      <c r="A420" s="8"/>
      <c r="B420" s="1"/>
      <c r="C420" s="1"/>
      <c r="D420" s="1"/>
      <c r="E420" s="2"/>
      <c r="F420" s="2"/>
      <c r="G420" s="2"/>
    </row>
    <row r="421" spans="1:7" x14ac:dyDescent="0.3">
      <c r="A421" s="8"/>
      <c r="B421" s="1"/>
      <c r="C421" s="1"/>
      <c r="D421" s="1"/>
      <c r="E421" s="2"/>
      <c r="F421" s="2"/>
      <c r="G421" s="2"/>
    </row>
    <row r="422" spans="1:7" x14ac:dyDescent="0.3">
      <c r="A422" s="8"/>
      <c r="B422" s="1"/>
      <c r="C422" s="1"/>
      <c r="D422" s="1"/>
      <c r="E422" s="2"/>
      <c r="F422" s="2"/>
      <c r="G422" s="2"/>
    </row>
    <row r="423" spans="1:7" x14ac:dyDescent="0.3">
      <c r="A423" s="8"/>
      <c r="B423" s="1"/>
      <c r="C423" s="1"/>
      <c r="D423" s="1"/>
      <c r="E423" s="2"/>
      <c r="F423" s="2"/>
      <c r="G423" s="2"/>
    </row>
    <row r="424" spans="1:7" x14ac:dyDescent="0.3">
      <c r="A424" s="8"/>
      <c r="B424" s="1"/>
      <c r="C424" s="1"/>
      <c r="D424" s="1"/>
      <c r="E424" s="2"/>
      <c r="F424" s="2"/>
      <c r="G424" s="2"/>
    </row>
    <row r="425" spans="1:7" x14ac:dyDescent="0.3">
      <c r="A425" s="8"/>
      <c r="B425" s="1"/>
      <c r="C425" s="1"/>
      <c r="D425" s="1"/>
      <c r="E425" s="2"/>
      <c r="F425" s="2"/>
      <c r="G425" s="2"/>
    </row>
    <row r="426" spans="1:7" x14ac:dyDescent="0.3">
      <c r="A426" s="8"/>
      <c r="B426" s="1"/>
      <c r="C426" s="1"/>
      <c r="D426" s="1"/>
      <c r="E426" s="2"/>
      <c r="F426" s="2"/>
      <c r="G426" s="2"/>
    </row>
    <row r="427" spans="1:7" x14ac:dyDescent="0.3">
      <c r="A427" s="8"/>
      <c r="B427" s="1"/>
      <c r="C427" s="1"/>
      <c r="D427" s="1"/>
      <c r="E427" s="2"/>
      <c r="F427" s="2"/>
      <c r="G427" s="2"/>
    </row>
    <row r="428" spans="1:7" x14ac:dyDescent="0.3">
      <c r="A428" s="8"/>
      <c r="B428" s="1"/>
      <c r="C428" s="1"/>
      <c r="D428" s="1"/>
      <c r="E428" s="2"/>
      <c r="F428" s="2"/>
      <c r="G428" s="2"/>
    </row>
    <row r="429" spans="1:7" x14ac:dyDescent="0.3">
      <c r="A429" s="8"/>
      <c r="B429" s="1"/>
      <c r="C429" s="1"/>
      <c r="D429" s="1"/>
      <c r="E429" s="2"/>
      <c r="F429" s="2"/>
      <c r="G429" s="2"/>
    </row>
    <row r="430" spans="1:7" x14ac:dyDescent="0.3">
      <c r="A430" s="8"/>
      <c r="B430" s="1"/>
      <c r="C430" s="1"/>
      <c r="D430" s="1"/>
      <c r="E430" s="2"/>
      <c r="F430" s="2"/>
      <c r="G430" s="2"/>
    </row>
    <row r="431" spans="1:7" x14ac:dyDescent="0.3">
      <c r="A431" s="8"/>
      <c r="B431" s="1"/>
      <c r="C431" s="1"/>
      <c r="D431" s="1"/>
      <c r="E431" s="2"/>
      <c r="F431" s="2"/>
      <c r="G431" s="2"/>
    </row>
    <row r="432" spans="1:7" x14ac:dyDescent="0.3">
      <c r="A432" s="8"/>
      <c r="B432" s="1"/>
      <c r="C432" s="1"/>
      <c r="D432" s="1"/>
      <c r="E432" s="2"/>
      <c r="F432" s="2"/>
      <c r="G432" s="2"/>
    </row>
    <row r="433" spans="1:7" x14ac:dyDescent="0.3">
      <c r="A433" s="8"/>
      <c r="B433" s="1"/>
      <c r="C433" s="1"/>
      <c r="D433" s="1"/>
      <c r="E433" s="2"/>
      <c r="F433" s="2"/>
      <c r="G433" s="2"/>
    </row>
    <row r="434" spans="1:7" x14ac:dyDescent="0.3">
      <c r="A434" s="8"/>
      <c r="B434" s="1"/>
      <c r="C434" s="1"/>
      <c r="D434" s="1"/>
      <c r="E434" s="2"/>
      <c r="F434" s="2"/>
      <c r="G434" s="2"/>
    </row>
    <row r="435" spans="1:7" x14ac:dyDescent="0.3">
      <c r="A435" s="8"/>
      <c r="B435" s="1"/>
      <c r="C435" s="1"/>
      <c r="D435" s="1"/>
      <c r="E435" s="2"/>
      <c r="F435" s="2"/>
      <c r="G435" s="2"/>
    </row>
    <row r="436" spans="1:7" x14ac:dyDescent="0.3">
      <c r="A436" s="8"/>
      <c r="B436" s="1"/>
      <c r="C436" s="1"/>
      <c r="D436" s="1"/>
      <c r="E436" s="2"/>
      <c r="F436" s="2"/>
      <c r="G436" s="2"/>
    </row>
    <row r="437" spans="1:7" x14ac:dyDescent="0.3">
      <c r="A437" s="8"/>
      <c r="B437" s="1"/>
      <c r="C437" s="1"/>
      <c r="D437" s="1"/>
      <c r="E437" s="2"/>
      <c r="F437" s="2"/>
      <c r="G437" s="2"/>
    </row>
    <row r="438" spans="1:7" x14ac:dyDescent="0.3">
      <c r="A438" s="8"/>
      <c r="B438" s="1"/>
      <c r="C438" s="1"/>
      <c r="D438" s="1"/>
      <c r="E438" s="2"/>
      <c r="F438" s="2"/>
      <c r="G438" s="2"/>
    </row>
    <row r="439" spans="1:7" x14ac:dyDescent="0.3">
      <c r="A439" s="8"/>
      <c r="B439" s="1"/>
      <c r="C439" s="1"/>
      <c r="D439" s="1"/>
      <c r="E439" s="2"/>
      <c r="F439" s="2"/>
      <c r="G439" s="2"/>
    </row>
    <row r="440" spans="1:7" x14ac:dyDescent="0.3">
      <c r="A440" s="8"/>
      <c r="B440" s="1"/>
      <c r="C440" s="1"/>
      <c r="D440" s="1"/>
      <c r="E440" s="2"/>
      <c r="F440" s="2"/>
      <c r="G440" s="2"/>
    </row>
    <row r="441" spans="1:7" x14ac:dyDescent="0.3">
      <c r="A441" s="8"/>
      <c r="B441" s="1"/>
      <c r="C441" s="1"/>
      <c r="D441" s="1"/>
      <c r="E441" s="2"/>
      <c r="F441" s="2"/>
      <c r="G441" s="2"/>
    </row>
    <row r="442" spans="1:7" x14ac:dyDescent="0.3">
      <c r="A442" s="8"/>
      <c r="B442" s="1"/>
      <c r="C442" s="1"/>
      <c r="D442" s="1"/>
      <c r="E442" s="2"/>
      <c r="F442" s="2"/>
      <c r="G442" s="2"/>
    </row>
    <row r="443" spans="1:7" x14ac:dyDescent="0.3">
      <c r="A443" s="8"/>
      <c r="B443" s="1"/>
      <c r="C443" s="1"/>
      <c r="D443" s="1"/>
      <c r="E443" s="2"/>
      <c r="F443" s="2"/>
      <c r="G443" s="2"/>
    </row>
    <row r="444" spans="1:7" x14ac:dyDescent="0.3">
      <c r="A444" s="8"/>
      <c r="B444" s="1"/>
      <c r="C444" s="1"/>
      <c r="D444" s="1"/>
      <c r="E444" s="2"/>
      <c r="F444" s="2"/>
      <c r="G444" s="2"/>
    </row>
    <row r="445" spans="1:7" x14ac:dyDescent="0.3">
      <c r="A445" s="8"/>
      <c r="B445" s="1"/>
      <c r="C445" s="1"/>
      <c r="D445" s="1"/>
      <c r="E445" s="2"/>
      <c r="F445" s="2"/>
      <c r="G445" s="2"/>
    </row>
    <row r="446" spans="1:7" x14ac:dyDescent="0.3">
      <c r="A446" s="8"/>
      <c r="B446" s="1"/>
      <c r="C446" s="1"/>
      <c r="D446" s="1"/>
      <c r="E446" s="2"/>
      <c r="F446" s="2"/>
      <c r="G446" s="2"/>
    </row>
    <row r="447" spans="1:7" x14ac:dyDescent="0.3">
      <c r="A447" s="8"/>
      <c r="B447" s="1"/>
      <c r="C447" s="1"/>
      <c r="D447" s="1"/>
      <c r="E447" s="2"/>
      <c r="F447" s="2"/>
      <c r="G447" s="2"/>
    </row>
    <row r="448" spans="1:7" x14ac:dyDescent="0.3">
      <c r="A448" s="8"/>
      <c r="B448" s="1"/>
      <c r="C448" s="1"/>
      <c r="D448" s="1"/>
      <c r="E448" s="2"/>
      <c r="F448" s="2"/>
      <c r="G448" s="2"/>
    </row>
    <row r="449" spans="1:7" x14ac:dyDescent="0.3">
      <c r="A449" s="8"/>
      <c r="B449" s="1"/>
      <c r="C449" s="1"/>
      <c r="D449" s="1"/>
      <c r="E449" s="2"/>
      <c r="F449" s="2"/>
      <c r="G449" s="2"/>
    </row>
    <row r="450" spans="1:7" x14ac:dyDescent="0.3">
      <c r="A450" s="8"/>
      <c r="B450" s="1"/>
      <c r="C450" s="1"/>
      <c r="D450" s="1"/>
      <c r="E450" s="2"/>
      <c r="F450" s="2"/>
      <c r="G450" s="2"/>
    </row>
    <row r="451" spans="1:7" x14ac:dyDescent="0.3">
      <c r="A451" s="8"/>
      <c r="B451" s="1"/>
      <c r="C451" s="1"/>
      <c r="D451" s="1"/>
      <c r="E451" s="2"/>
      <c r="F451" s="2"/>
      <c r="G451" s="2"/>
    </row>
    <row r="452" spans="1:7" x14ac:dyDescent="0.3">
      <c r="A452" s="8"/>
      <c r="B452" s="1"/>
      <c r="C452" s="1"/>
      <c r="D452" s="1"/>
      <c r="E452" s="2"/>
      <c r="F452" s="2"/>
      <c r="G452" s="2"/>
    </row>
    <row r="453" spans="1:7" x14ac:dyDescent="0.3">
      <c r="A453" s="8"/>
      <c r="B453" s="1"/>
      <c r="C453" s="1"/>
      <c r="D453" s="1"/>
      <c r="E453" s="2"/>
      <c r="F453" s="2"/>
      <c r="G453" s="2"/>
    </row>
    <row r="454" spans="1:7" x14ac:dyDescent="0.3">
      <c r="A454" s="8"/>
      <c r="B454" s="1"/>
      <c r="C454" s="1"/>
      <c r="D454" s="1"/>
      <c r="E454" s="2"/>
      <c r="G454" s="2"/>
    </row>
    <row r="455" spans="1:7" x14ac:dyDescent="0.3">
      <c r="A455" s="8"/>
      <c r="B455" s="1"/>
      <c r="C455" s="1"/>
      <c r="D455" s="1"/>
      <c r="E455" s="2"/>
      <c r="G455" s="2"/>
    </row>
    <row r="456" spans="1:7" x14ac:dyDescent="0.3">
      <c r="A456" s="8"/>
      <c r="B456" s="1"/>
      <c r="C456" s="1"/>
      <c r="D456" s="1"/>
    </row>
    <row r="457" spans="1:7" x14ac:dyDescent="0.3">
      <c r="A457" s="8"/>
      <c r="B457" s="1"/>
      <c r="C457" s="1"/>
      <c r="D457" s="1"/>
    </row>
    <row r="458" spans="1:7" x14ac:dyDescent="0.3">
      <c r="A458" s="8"/>
      <c r="B458" s="1"/>
      <c r="C458" s="1"/>
      <c r="D458" s="1"/>
    </row>
    <row r="459" spans="1:7" x14ac:dyDescent="0.3">
      <c r="A459" s="8"/>
      <c r="B459" s="1"/>
      <c r="C459" s="1"/>
      <c r="D459" s="1"/>
    </row>
  </sheetData>
  <dataValidations count="2">
    <dataValidation type="list" allowBlank="1" showInputMessage="1" showErrorMessage="1" sqref="G7">
      <formula1>"NEUTRAL,GREEN,BLUE,GOLD,BRONZE"</formula1>
    </dataValidation>
    <dataValidation type="list" allowBlank="1" showInputMessage="1" showErrorMessage="1" sqref="H3">
      <formula1>"BM,AM"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SelectionAsTextFile">
                <anchor moveWithCells="1" sizeWithCells="1">
                  <from>
                    <xdr:col>5</xdr:col>
                    <xdr:colOff>0</xdr:colOff>
                    <xdr:row>13</xdr:row>
                    <xdr:rowOff>99060</xdr:rowOff>
                  </from>
                  <to>
                    <xdr:col>5</xdr:col>
                    <xdr:colOff>4061460</xdr:colOff>
                    <xdr:row>18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1">
                <anchor moveWithCells="1" sizeWithCells="1">
                  <from>
                    <xdr:col>5</xdr:col>
                    <xdr:colOff>45720</xdr:colOff>
                    <xdr:row>10</xdr:row>
                    <xdr:rowOff>30480</xdr:rowOff>
                  </from>
                  <to>
                    <xdr:col>5</xdr:col>
                    <xdr:colOff>1188720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acro3">
                <anchor moveWithCells="1" sizeWithCells="1">
                  <from>
                    <xdr:col>5</xdr:col>
                    <xdr:colOff>1409700</xdr:colOff>
                    <xdr:row>10</xdr:row>
                    <xdr:rowOff>30480</xdr:rowOff>
                  </from>
                  <to>
                    <xdr:col>5</xdr:col>
                    <xdr:colOff>2628900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Macro4">
                <anchor moveWithCells="1" sizeWithCells="1">
                  <from>
                    <xdr:col>5</xdr:col>
                    <xdr:colOff>2811780</xdr:colOff>
                    <xdr:row>10</xdr:row>
                    <xdr:rowOff>30480</xdr:rowOff>
                  </from>
                  <to>
                    <xdr:col>5</xdr:col>
                    <xdr:colOff>3924300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CALCULATOR</vt:lpstr>
      <vt:lpstr>TEXT FILE GENERATOR</vt:lpstr>
      <vt:lpstr>'TEXT FILE GENERATOR'!_63065_2.5mm_AIS_NPD_GREEN_50_BM_Copy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Nataraj S;Mustafa Chougule</dc:creator>
  <cp:lastModifiedBy>Vemuri SRS Praveen Kumar</cp:lastModifiedBy>
  <dcterms:created xsi:type="dcterms:W3CDTF">2015-10-16T04:35:27Z</dcterms:created>
  <dcterms:modified xsi:type="dcterms:W3CDTF">2026-01-12T15:55:58Z</dcterms:modified>
</cp:coreProperties>
</file>